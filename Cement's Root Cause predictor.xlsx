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CL\10-03-2026 so3 analysis\Excel\"/>
    </mc:Choice>
  </mc:AlternateContent>
  <xr:revisionPtr revIDLastSave="0" documentId="13_ncr:1_{ECAE6B06-29E5-46DE-8076-34D45F6A88EC}" xr6:coauthVersionLast="47" xr6:coauthVersionMax="47" xr10:uidLastSave="{00000000-0000-0000-0000-000000000000}"/>
  <bookViews>
    <workbookView xWindow="-110" yWindow="-110" windowWidth="19420" windowHeight="10300" xr2:uid="{481934EF-C461-4358-A3C0-4C82FFAAF824}"/>
  </bookViews>
  <sheets>
    <sheet name="Clinker_Data" sheetId="1" r:id="rId1"/>
    <sheet name="Slag_Data" sheetId="5" r:id="rId2"/>
    <sheet name="Dry_Fly_Ash_Data" sheetId="6" r:id="rId3"/>
    <sheet name="Wet_Fly_Ash_Data" sheetId="7" r:id="rId4"/>
    <sheet name="Gypsum_Data" sheetId="8" r:id="rId5"/>
    <sheet name="CaO Model" sheetId="3" r:id="rId6"/>
    <sheet name="Cement_Mill_Data" sheetId="2" r:id="rId7"/>
    <sheet name="Hourly Results" sheetId="9" r:id="rId8"/>
    <sheet name="Dashboard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6" l="1"/>
  <c r="C2" i="3" s="1" a="1"/>
  <c r="C2" i="3" s="1"/>
  <c r="L15" i="6"/>
  <c r="M15" i="6"/>
  <c r="N15" i="6"/>
  <c r="F5" i="3"/>
  <c r="A2" i="3" a="1"/>
  <c r="A2" i="3" s="1"/>
  <c r="B2" i="3" a="1"/>
  <c r="B2" i="3" s="1"/>
  <c r="E9" i="3"/>
  <c r="E8" i="3"/>
  <c r="E2" i="3" a="1"/>
  <c r="E2" i="3" s="1"/>
  <c r="F6" i="3"/>
  <c r="F2" i="3"/>
  <c r="F7" i="3"/>
  <c r="D2" i="3" a="1"/>
  <c r="D2" i="3" s="1"/>
  <c r="D15" i="7"/>
  <c r="E15" i="7"/>
  <c r="F15" i="7"/>
  <c r="G15" i="7"/>
  <c r="H15" i="7"/>
  <c r="I15" i="7"/>
  <c r="J15" i="7"/>
  <c r="K15" i="7"/>
  <c r="L15" i="7"/>
  <c r="M15" i="7"/>
  <c r="N15" i="7"/>
  <c r="O15" i="7"/>
  <c r="C15" i="7"/>
  <c r="D7" i="5"/>
  <c r="E7" i="5"/>
  <c r="F7" i="5"/>
  <c r="G7" i="5"/>
  <c r="H7" i="5"/>
  <c r="I7" i="5"/>
  <c r="C7" i="5"/>
  <c r="D15" i="6"/>
  <c r="E15" i="6"/>
  <c r="F15" i="6"/>
  <c r="G15" i="6"/>
  <c r="H15" i="6"/>
  <c r="I15" i="6"/>
  <c r="J15" i="6"/>
  <c r="C15" i="6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C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<sst xmlns="http://schemas.openxmlformats.org/spreadsheetml/2006/main" count="138" uniqueCount="96">
  <si>
    <t>Sample name</t>
  </si>
  <si>
    <t>SiO2 (%)</t>
  </si>
  <si>
    <t>Al2O3 (%)</t>
  </si>
  <si>
    <t>Fe2O3 (%)</t>
  </si>
  <si>
    <t>CaO (%)</t>
  </si>
  <si>
    <t>MgO (%)</t>
  </si>
  <si>
    <t>SO3 (%)</t>
  </si>
  <si>
    <t>Na2O (%)</t>
  </si>
  <si>
    <t>K2O (%)</t>
  </si>
  <si>
    <t>Mn2O3 (%)</t>
  </si>
  <si>
    <t>TiO2 (%)</t>
  </si>
  <si>
    <t>P2O5 (%)</t>
  </si>
  <si>
    <t>Cr2O3 (%)</t>
  </si>
  <si>
    <t>Cl (%)</t>
  </si>
  <si>
    <t>LSF</t>
  </si>
  <si>
    <t>Silica Ratio</t>
  </si>
  <si>
    <t>CLK2 4PM 05/03</t>
  </si>
  <si>
    <t>CLK2 8PM 05/03</t>
  </si>
  <si>
    <t>CLK2 12AM 06/03</t>
  </si>
  <si>
    <t>CLK2 4AM 06/03</t>
  </si>
  <si>
    <t>CLK2 8AM 06/03</t>
  </si>
  <si>
    <t>CLK2 12PM 06/03</t>
  </si>
  <si>
    <t>CLK2 4PM 06/03</t>
  </si>
  <si>
    <t>CLK2 8PM 06/03</t>
  </si>
  <si>
    <t>CLK2 12AM 07/03</t>
  </si>
  <si>
    <t>CLK2 4AM 07/03</t>
  </si>
  <si>
    <t>CLK2 8AM 07/03</t>
  </si>
  <si>
    <t>CLK2 12PM 07/03</t>
  </si>
  <si>
    <t>CLK2 4PM 07/03</t>
  </si>
  <si>
    <t>CLK2 8PM 07/03</t>
  </si>
  <si>
    <t>CLK2 12AM 08/03</t>
  </si>
  <si>
    <t>CLK2 4AM 08/03</t>
  </si>
  <si>
    <t>CLK2 8AM 08/03</t>
  </si>
  <si>
    <t>CLK2 12PM 08/03</t>
  </si>
  <si>
    <t>CLK2 4PM 08/03</t>
  </si>
  <si>
    <t>CLK2 8PM 08/03</t>
  </si>
  <si>
    <t>CLK2 4PM 09/03/2026</t>
  </si>
  <si>
    <t>S.No</t>
  </si>
  <si>
    <t xml:space="preserve">Average </t>
  </si>
  <si>
    <t>Date</t>
  </si>
  <si>
    <t>Clinker %</t>
  </si>
  <si>
    <t>DFA %</t>
  </si>
  <si>
    <t>WFA %</t>
  </si>
  <si>
    <t>Slag %</t>
  </si>
  <si>
    <t>Gypsum %</t>
  </si>
  <si>
    <t>Blaine</t>
  </si>
  <si>
    <t>CM1 WF SLAG 03/03</t>
  </si>
  <si>
    <t>CM2 WF SLAG 03/03</t>
  </si>
  <si>
    <t>CM1 WF SLAG 05/03</t>
  </si>
  <si>
    <t>CM2 WF SLAG 05/03</t>
  </si>
  <si>
    <t>CM1 WF SLAG 08/03</t>
  </si>
  <si>
    <t>SiO2</t>
  </si>
  <si>
    <t>Al2O3</t>
  </si>
  <si>
    <t>Fe2O3</t>
  </si>
  <si>
    <t>CaO</t>
  </si>
  <si>
    <t>MgO</t>
  </si>
  <si>
    <t>Na2O</t>
  </si>
  <si>
    <t>K2O</t>
  </si>
  <si>
    <t xml:space="preserve">Name </t>
  </si>
  <si>
    <t>TOTAL</t>
  </si>
  <si>
    <t>FAD BISMILLAH 06/03</t>
  </si>
  <si>
    <t>FAD TS2 06/03</t>
  </si>
  <si>
    <t>FAD HORIZON 06/03</t>
  </si>
  <si>
    <t>FAD NNTP 07/03</t>
  </si>
  <si>
    <t>FAD TS2 07/03</t>
  </si>
  <si>
    <t>FAD NNTPP 08/03</t>
  </si>
  <si>
    <t>FAD BISMILLAH 08/03</t>
  </si>
  <si>
    <t>FAD HORIZON 08/03</t>
  </si>
  <si>
    <t>FAD ILFS 08/03</t>
  </si>
  <si>
    <t>FAD BISMILLAH 09/03</t>
  </si>
  <si>
    <t>FAD HORIZON 09/03</t>
  </si>
  <si>
    <t>Name</t>
  </si>
  <si>
    <t>Average</t>
  </si>
  <si>
    <t>FAW DYKE 01/03</t>
  </si>
  <si>
    <t>FAW DYKE 03/03</t>
  </si>
  <si>
    <t>FAW DYKE ASH 03/03</t>
  </si>
  <si>
    <t>FAW DYKE 04/03</t>
  </si>
  <si>
    <t>FAW DYKE 05/03</t>
  </si>
  <si>
    <t>FAW DYKE ASH 06/03</t>
  </si>
  <si>
    <t>FAW DYKE 07/03</t>
  </si>
  <si>
    <t>FAW DYKE ASH 07/03</t>
  </si>
  <si>
    <t>FAW DYKE 08/03</t>
  </si>
  <si>
    <t>FAW DYKE CM1 WF 08/03</t>
  </si>
  <si>
    <t>FAW DYKE ASH 09/03</t>
  </si>
  <si>
    <t>Avearge</t>
  </si>
  <si>
    <t>SO3</t>
  </si>
  <si>
    <t>Loss</t>
  </si>
  <si>
    <t>Gypsum</t>
  </si>
  <si>
    <t>Clinker</t>
  </si>
  <si>
    <t>DFA</t>
  </si>
  <si>
    <t>WFA</t>
  </si>
  <si>
    <t>SLAG</t>
  </si>
  <si>
    <t>GYPSUM</t>
  </si>
  <si>
    <t>Params</t>
  </si>
  <si>
    <t>%</t>
  </si>
  <si>
    <t>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</si>
</sst>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5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607167-4FCE-4C11-AB9C-C04830587BE5}" name="Table2" displayName="Table2" ref="A1:I7" totalsRowShown="0" headerRowDxfId="51" dataDxfId="49" headerRowBorderDxfId="50" tableBorderDxfId="48" totalsRowBorderDxfId="47">
  <autoFilter ref="A1:I7" xr:uid="{DD607167-4FCE-4C11-AB9C-C04830587BE5}"/>
  <tableColumns count="9">
    <tableColumn id="1" xr3:uid="{27F73EB7-EC23-4464-89F6-5A2C6765D3A3}" name="S.No" dataDxfId="46"/>
    <tableColumn id="2" xr3:uid="{513A0517-B75A-4D9D-9E22-5596E27E0402}" name="Name " dataDxfId="45"/>
    <tableColumn id="3" xr3:uid="{578BBB33-E796-4903-9C5B-265FA4F365D5}" name="SiO2" dataDxfId="44"/>
    <tableColumn id="4" xr3:uid="{28D47604-516C-4FD5-8992-2737F629B32F}" name="Al2O3" dataDxfId="43"/>
    <tableColumn id="5" xr3:uid="{89788D1C-E8BD-4DFB-A7F8-E23CB6D3C2BF}" name="Fe2O3" dataDxfId="42"/>
    <tableColumn id="6" xr3:uid="{D1E86EEB-3EBB-4167-BBFC-C26F054A6264}" name="CaO" dataDxfId="41"/>
    <tableColumn id="7" xr3:uid="{DADDCBAB-7F13-4041-B21E-E0AB3882D43D}" name="MgO" dataDxfId="40"/>
    <tableColumn id="8" xr3:uid="{5974CF6C-5616-45EC-A511-DF1CB6A56DB7}" name="Na2O" dataDxfId="39"/>
    <tableColumn id="9" xr3:uid="{0AB7ACD7-79C6-4504-888F-4BEFF2D8F089}" name="K2O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9616D-9628-4F24-85A1-FACAFC5BB4F6}" name="Table1" displayName="Table1" ref="A1:O14" totalsRowShown="0" headerRowDxfId="37" dataDxfId="36" tableBorderDxfId="35">
  <autoFilter ref="A1:O14" xr:uid="{9489616D-9628-4F24-85A1-FACAFC5BB4F6}"/>
  <tableColumns count="15">
    <tableColumn id="1" xr3:uid="{E3A6F8CA-1E76-4236-941E-FCD73447F68E}" name="S.No" dataDxfId="34"/>
    <tableColumn id="2" xr3:uid="{699E7974-1C7A-4BBC-8D91-BCE34BA9097E}" name="Name" dataDxfId="33"/>
    <tableColumn id="3" xr3:uid="{8BA2BE8E-23F1-431C-BBD5-A1155DA55E18}" name="SiO2 (%)" dataDxfId="32"/>
    <tableColumn id="4" xr3:uid="{178D10AC-CF96-48ED-9577-933836E77A4D}" name="Al2O3 (%)" dataDxfId="31"/>
    <tableColumn id="5" xr3:uid="{8296C2B2-2206-4DCA-AC6E-3CBA711D3970}" name="Fe2O3 (%)" dataDxfId="30"/>
    <tableColumn id="6" xr3:uid="{52268BC3-7B28-4609-A44E-0AFC325089A3}" name="CaO (%)" dataDxfId="29"/>
    <tableColumn id="7" xr3:uid="{CC11AD50-DA0B-42D2-930B-CD442D2ED355}" name="MgO (%)" dataDxfId="28"/>
    <tableColumn id="8" xr3:uid="{3E6CA462-EDCD-44C7-AD5B-F57AA7CF54FB}" name="SO3 (%)" dataDxfId="27"/>
    <tableColumn id="9" xr3:uid="{6B795D72-DA3A-47A1-9E6E-7162B7084856}" name="Na2O (%)" dataDxfId="26"/>
    <tableColumn id="10" xr3:uid="{C52A2D8B-06EE-4CAF-8BF2-5289A42CE9E6}" name="K2O (%)" dataDxfId="25"/>
    <tableColumn id="11" xr3:uid="{C1B7A9D1-42A5-44C7-B456-3266EF43BAC2}" name="Mn2O3 (%)" dataDxfId="24"/>
    <tableColumn id="12" xr3:uid="{A3D970CF-90A9-49E6-9F3B-81370DA8C4D7}" name="TiO2 (%)" dataDxfId="23"/>
    <tableColumn id="13" xr3:uid="{F9F73707-5741-4042-BD60-5804B149F497}" name="P2O5 (%)" dataDxfId="22"/>
    <tableColumn id="14" xr3:uid="{446A39B2-EF08-4133-9D97-4A4CDDE2C479}" name="Cr2O3 (%)" dataDxfId="21"/>
    <tableColumn id="15" xr3:uid="{0A033A52-308F-4957-8D45-5037B766CD3B}" name="TOTAL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3B5B65-365C-43B5-A69F-E58F516C664A}" name="Table3" displayName="Table3" ref="A1:O15" totalsRowShown="0" headerRowDxfId="19" dataDxfId="17" headerRowBorderDxfId="18" tableBorderDxfId="16" totalsRowBorderDxfId="15">
  <autoFilter ref="A1:O15" xr:uid="{063B5B65-365C-43B5-A69F-E58F516C664A}"/>
  <tableColumns count="15">
    <tableColumn id="1" xr3:uid="{5B729E7E-F786-441B-95D0-B7FA14F3EA36}" name="S.No" dataDxfId="14"/>
    <tableColumn id="2" xr3:uid="{6AC6C086-89F1-4486-A40A-3ED40B39C6A7}" name="Name" dataDxfId="13"/>
    <tableColumn id="3" xr3:uid="{ACD9B975-7483-4B96-B03C-405FB978D133}" name="SiO2 (%)" dataDxfId="12"/>
    <tableColumn id="4" xr3:uid="{1D0678BD-F50C-49CD-829A-7A0F9B7AAC67}" name="Al2O3 (%)" dataDxfId="11"/>
    <tableColumn id="5" xr3:uid="{8251155A-8997-47DB-A313-9FDD0D2180AE}" name="Fe2O3 (%)" dataDxfId="10"/>
    <tableColumn id="6" xr3:uid="{BADDF585-7348-428D-AA30-21ACC43A9746}" name="CaO (%)" dataDxfId="9"/>
    <tableColumn id="7" xr3:uid="{35F63C50-6BF9-445F-9CD4-7E78A4E3E38C}" name="MgO (%)" dataDxfId="8"/>
    <tableColumn id="8" xr3:uid="{A3348F5D-57ED-4853-8983-2822E262A3EF}" name="SO3 (%)" dataDxfId="7"/>
    <tableColumn id="9" xr3:uid="{CF1DCFD9-1C39-46BF-B62A-0427531EC329}" name="Na2O (%)" dataDxfId="6"/>
    <tableColumn id="10" xr3:uid="{BC5AC12B-1AB6-468A-8889-4BA85ECA4DC0}" name="K2O (%)" dataDxfId="5"/>
    <tableColumn id="11" xr3:uid="{89D18FF5-61E2-419B-B527-D720F16BBC38}" name="Mn2O3 (%)" dataDxfId="4"/>
    <tableColumn id="12" xr3:uid="{4A9A510E-E083-4CCC-AEE4-9F1AFD6484D8}" name="TiO2 (%)" dataDxfId="3"/>
    <tableColumn id="13" xr3:uid="{3367747D-0739-4A63-AB78-121BC311ECDF}" name="P2O5 (%)" dataDxfId="2"/>
    <tableColumn id="14" xr3:uid="{65244830-9DEC-403D-979E-3B4F7ABAC9C1}" name="Cr2O3 (%)" dataDxfId="1"/>
    <tableColumn id="15" xr3:uid="{D20C3233-22A4-4829-BFB1-7E4E3B7330FB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19EB-6F48-4CCC-8749-EDCE1934DAF1}">
  <dimension ref="A1:Q27"/>
  <sheetViews>
    <sheetView tabSelected="1" workbookViewId="0">
      <selection activeCell="C27" sqref="C27"/>
    </sheetView>
  </sheetViews>
  <sheetFormatPr defaultRowHeight="14.5" x14ac:dyDescent="0.35"/>
  <cols>
    <col min="1" max="1" width="3.81640625" bestFit="1" customWidth="1"/>
    <col min="2" max="2" width="21.26953125" bestFit="1" customWidth="1"/>
  </cols>
  <sheetData>
    <row r="1" spans="1:17" x14ac:dyDescent="0.35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1</v>
      </c>
      <c r="B2" s="1" t="s">
        <v>16</v>
      </c>
      <c r="C2" s="1">
        <v>20.46</v>
      </c>
      <c r="D2" s="1">
        <v>4.649</v>
      </c>
      <c r="E2" s="1">
        <v>5.3120000000000003</v>
      </c>
      <c r="F2" s="1">
        <v>65.34</v>
      </c>
      <c r="G2" s="1">
        <v>0.874</v>
      </c>
      <c r="H2" s="1">
        <v>1.5620000000000001</v>
      </c>
      <c r="I2" s="1">
        <v>0.214</v>
      </c>
      <c r="J2" s="1">
        <v>0.73399999999999999</v>
      </c>
      <c r="K2" s="1">
        <v>0.157</v>
      </c>
      <c r="L2" s="1">
        <v>0.253</v>
      </c>
      <c r="M2" s="1">
        <v>0.13300000000000001</v>
      </c>
      <c r="N2" s="1">
        <v>2E-3</v>
      </c>
      <c r="O2" s="1">
        <v>1.0999999999999999E-2</v>
      </c>
      <c r="P2" s="1">
        <v>98.522000000000006</v>
      </c>
      <c r="Q2" s="1">
        <v>2.0539999999999998</v>
      </c>
    </row>
    <row r="3" spans="1:17" x14ac:dyDescent="0.35">
      <c r="A3" s="1">
        <v>2</v>
      </c>
      <c r="B3" s="1" t="s">
        <v>17</v>
      </c>
      <c r="C3" s="1">
        <v>20.366</v>
      </c>
      <c r="D3" s="1">
        <v>4.5469999999999997</v>
      </c>
      <c r="E3" s="1">
        <v>5.1219999999999999</v>
      </c>
      <c r="F3" s="1">
        <v>65.557000000000002</v>
      </c>
      <c r="G3" s="1">
        <v>0.873</v>
      </c>
      <c r="H3" s="1">
        <v>1.706</v>
      </c>
      <c r="I3" s="1">
        <v>0.216</v>
      </c>
      <c r="J3" s="1">
        <v>0.76900000000000002</v>
      </c>
      <c r="K3" s="1">
        <v>0.151</v>
      </c>
      <c r="L3" s="1">
        <v>0.248</v>
      </c>
      <c r="M3" s="1">
        <v>0.13200000000000001</v>
      </c>
      <c r="N3" s="1">
        <v>2E-3</v>
      </c>
      <c r="O3" s="1">
        <v>1.0999999999999999E-2</v>
      </c>
      <c r="P3" s="1">
        <v>99.614999999999995</v>
      </c>
      <c r="Q3" s="1">
        <v>2.1059999999999999</v>
      </c>
    </row>
    <row r="4" spans="1:17" x14ac:dyDescent="0.35">
      <c r="A4" s="1">
        <v>3</v>
      </c>
      <c r="B4" s="1" t="s">
        <v>18</v>
      </c>
      <c r="C4" s="1">
        <v>20.734999999999999</v>
      </c>
      <c r="D4" s="1">
        <v>4.585</v>
      </c>
      <c r="E4" s="1">
        <v>5.15</v>
      </c>
      <c r="F4" s="1">
        <v>65.054000000000002</v>
      </c>
      <c r="G4" s="1">
        <v>0.89200000000000002</v>
      </c>
      <c r="H4" s="1">
        <v>1.7370000000000001</v>
      </c>
      <c r="I4" s="1">
        <v>0.223</v>
      </c>
      <c r="J4" s="1">
        <v>0.77200000000000002</v>
      </c>
      <c r="K4" s="1">
        <v>0.154</v>
      </c>
      <c r="L4" s="1">
        <v>0.254</v>
      </c>
      <c r="M4" s="1">
        <v>0.13200000000000001</v>
      </c>
      <c r="N4" s="1">
        <v>2E-3</v>
      </c>
      <c r="O4" s="1">
        <v>1.0999999999999999E-2</v>
      </c>
      <c r="P4" s="1">
        <v>97.230999999999995</v>
      </c>
      <c r="Q4" s="1">
        <v>2.13</v>
      </c>
    </row>
    <row r="5" spans="1:17" x14ac:dyDescent="0.35">
      <c r="A5" s="1">
        <v>4</v>
      </c>
      <c r="B5" s="1" t="s">
        <v>19</v>
      </c>
      <c r="C5" s="1">
        <v>20.344000000000001</v>
      </c>
      <c r="D5" s="1">
        <v>4.5490000000000004</v>
      </c>
      <c r="E5" s="1">
        <v>5.157</v>
      </c>
      <c r="F5" s="1">
        <v>65.566000000000003</v>
      </c>
      <c r="G5" s="1">
        <v>0.86099999999999999</v>
      </c>
      <c r="H5" s="1">
        <v>1.6910000000000001</v>
      </c>
      <c r="I5" s="1">
        <v>0.215</v>
      </c>
      <c r="J5" s="1">
        <v>0.77400000000000002</v>
      </c>
      <c r="K5" s="1">
        <v>0.152</v>
      </c>
      <c r="L5" s="1">
        <v>0.247</v>
      </c>
      <c r="M5" s="1">
        <v>0.13300000000000001</v>
      </c>
      <c r="N5" s="1">
        <v>2E-3</v>
      </c>
      <c r="O5" s="1">
        <v>1.0999999999999999E-2</v>
      </c>
      <c r="P5" s="1">
        <v>99.685000000000002</v>
      </c>
      <c r="Q5" s="1">
        <v>2.0960000000000001</v>
      </c>
    </row>
    <row r="6" spans="1:17" x14ac:dyDescent="0.35">
      <c r="A6" s="1">
        <v>5</v>
      </c>
      <c r="B6" s="1" t="s">
        <v>20</v>
      </c>
      <c r="C6" s="1">
        <v>20.32</v>
      </c>
      <c r="D6" s="1">
        <v>4.6399999999999997</v>
      </c>
      <c r="E6" s="1">
        <v>5.3419999999999996</v>
      </c>
      <c r="F6" s="1">
        <v>65.254999999999995</v>
      </c>
      <c r="G6" s="1">
        <v>0.88400000000000001</v>
      </c>
      <c r="H6" s="1">
        <v>1.7110000000000001</v>
      </c>
      <c r="I6" s="1">
        <v>0.219</v>
      </c>
      <c r="J6" s="1">
        <v>0.77100000000000002</v>
      </c>
      <c r="K6" s="1">
        <v>0.154</v>
      </c>
      <c r="L6" s="1">
        <v>0.25800000000000001</v>
      </c>
      <c r="M6" s="1">
        <v>0.13400000000000001</v>
      </c>
      <c r="N6" s="1">
        <v>2E-3</v>
      </c>
      <c r="O6" s="1">
        <v>1.0999999999999999E-2</v>
      </c>
      <c r="P6" s="1">
        <v>98.968999999999994</v>
      </c>
      <c r="Q6" s="1">
        <v>2.036</v>
      </c>
    </row>
    <row r="7" spans="1:17" x14ac:dyDescent="0.35">
      <c r="A7" s="1">
        <v>6</v>
      </c>
      <c r="B7" s="1" t="s">
        <v>21</v>
      </c>
      <c r="C7" s="1">
        <v>20.402999999999999</v>
      </c>
      <c r="D7" s="1">
        <v>4.6159999999999997</v>
      </c>
      <c r="E7" s="1">
        <v>5.3410000000000002</v>
      </c>
      <c r="F7" s="1">
        <v>65.317999999999998</v>
      </c>
      <c r="G7" s="1">
        <v>0.89200000000000002</v>
      </c>
      <c r="H7" s="1">
        <v>1.619</v>
      </c>
      <c r="I7" s="1">
        <v>0.22</v>
      </c>
      <c r="J7" s="1">
        <v>0.74</v>
      </c>
      <c r="K7" s="1">
        <v>0.154</v>
      </c>
      <c r="L7" s="1">
        <v>0.252</v>
      </c>
      <c r="M7" s="1">
        <v>0.13300000000000001</v>
      </c>
      <c r="N7" s="1">
        <v>2E-3</v>
      </c>
      <c r="O7" s="1">
        <v>1.0999999999999999E-2</v>
      </c>
      <c r="P7" s="1">
        <v>98.76</v>
      </c>
      <c r="Q7" s="1">
        <v>2.0489999999999999</v>
      </c>
    </row>
    <row r="8" spans="1:17" x14ac:dyDescent="0.35">
      <c r="A8" s="1">
        <v>7</v>
      </c>
      <c r="B8" s="1" t="s">
        <v>22</v>
      </c>
      <c r="C8" s="1">
        <v>20.433</v>
      </c>
      <c r="D8" s="1">
        <v>4.6100000000000003</v>
      </c>
      <c r="E8" s="1">
        <v>5.3490000000000002</v>
      </c>
      <c r="F8" s="1">
        <v>65.284000000000006</v>
      </c>
      <c r="G8" s="1">
        <v>0.89700000000000002</v>
      </c>
      <c r="H8" s="1">
        <v>1.585</v>
      </c>
      <c r="I8" s="1">
        <v>0.221</v>
      </c>
      <c r="J8" s="1">
        <v>0.76500000000000001</v>
      </c>
      <c r="K8" s="1">
        <v>0.154</v>
      </c>
      <c r="L8" s="1">
        <v>0.255</v>
      </c>
      <c r="M8" s="1">
        <v>0.13300000000000001</v>
      </c>
      <c r="N8" s="1">
        <v>2E-3</v>
      </c>
      <c r="O8" s="1">
        <v>1.0999999999999999E-2</v>
      </c>
      <c r="P8" s="1">
        <v>98.585999999999999</v>
      </c>
      <c r="Q8" s="1">
        <v>2.052</v>
      </c>
    </row>
    <row r="9" spans="1:17" x14ac:dyDescent="0.35">
      <c r="A9" s="1">
        <v>8</v>
      </c>
      <c r="B9" s="1" t="s">
        <v>23</v>
      </c>
      <c r="C9" s="1">
        <v>20.483000000000001</v>
      </c>
      <c r="D9" s="1">
        <v>4.6269999999999998</v>
      </c>
      <c r="E9" s="1">
        <v>5.2969999999999997</v>
      </c>
      <c r="F9" s="1">
        <v>65.197999999999993</v>
      </c>
      <c r="G9" s="1">
        <v>0.89500000000000002</v>
      </c>
      <c r="H9" s="1">
        <v>1.6739999999999999</v>
      </c>
      <c r="I9" s="1">
        <v>0.22</v>
      </c>
      <c r="J9" s="1">
        <v>0.755</v>
      </c>
      <c r="K9" s="1">
        <v>0.154</v>
      </c>
      <c r="L9" s="1">
        <v>0.252</v>
      </c>
      <c r="M9" s="1">
        <v>0.13200000000000001</v>
      </c>
      <c r="N9" s="1">
        <v>2E-3</v>
      </c>
      <c r="O9" s="1">
        <v>1.0999999999999999E-2</v>
      </c>
      <c r="P9" s="1">
        <v>98.266000000000005</v>
      </c>
      <c r="Q9" s="1">
        <v>2.0640000000000001</v>
      </c>
    </row>
    <row r="10" spans="1:17" x14ac:dyDescent="0.35">
      <c r="A10" s="1">
        <v>9</v>
      </c>
      <c r="B10" s="1" t="s">
        <v>24</v>
      </c>
      <c r="C10" s="1">
        <v>20.387</v>
      </c>
      <c r="D10" s="1">
        <v>4.6040000000000001</v>
      </c>
      <c r="E10" s="1">
        <v>5.3</v>
      </c>
      <c r="F10" s="1">
        <v>65.286000000000001</v>
      </c>
      <c r="G10" s="1">
        <v>0.89900000000000002</v>
      </c>
      <c r="H10" s="1">
        <v>1.679</v>
      </c>
      <c r="I10" s="1">
        <v>0.223</v>
      </c>
      <c r="J10" s="1">
        <v>0.76800000000000002</v>
      </c>
      <c r="K10" s="1">
        <v>0.156</v>
      </c>
      <c r="L10" s="1">
        <v>0.252</v>
      </c>
      <c r="M10" s="1">
        <v>0.13200000000000001</v>
      </c>
      <c r="N10" s="1">
        <v>2E-3</v>
      </c>
      <c r="O10" s="1">
        <v>1.0999999999999999E-2</v>
      </c>
      <c r="P10" s="1">
        <v>98.84</v>
      </c>
      <c r="Q10" s="1">
        <v>2.0579999999999998</v>
      </c>
    </row>
    <row r="11" spans="1:17" x14ac:dyDescent="0.35">
      <c r="A11" s="1">
        <v>10</v>
      </c>
      <c r="B11" s="1" t="s">
        <v>25</v>
      </c>
      <c r="C11" s="1">
        <v>20.39</v>
      </c>
      <c r="D11" s="1">
        <v>4.6100000000000003</v>
      </c>
      <c r="E11" s="1">
        <v>5.3159999999999998</v>
      </c>
      <c r="F11" s="1">
        <v>65.311999999999998</v>
      </c>
      <c r="G11" s="1">
        <v>0.878</v>
      </c>
      <c r="H11" s="1">
        <v>1.6679999999999999</v>
      </c>
      <c r="I11" s="1">
        <v>0.222</v>
      </c>
      <c r="J11" s="1">
        <v>0.75</v>
      </c>
      <c r="K11" s="1">
        <v>0.157</v>
      </c>
      <c r="L11" s="1">
        <v>0.253</v>
      </c>
      <c r="M11" s="1">
        <v>0.13100000000000001</v>
      </c>
      <c r="N11" s="1">
        <v>2E-3</v>
      </c>
      <c r="O11" s="1">
        <v>1.2E-2</v>
      </c>
      <c r="P11" s="1">
        <v>98.840999999999994</v>
      </c>
      <c r="Q11" s="1">
        <v>2.0539999999999998</v>
      </c>
    </row>
    <row r="12" spans="1:17" x14ac:dyDescent="0.35">
      <c r="A12" s="1">
        <v>11</v>
      </c>
      <c r="B12" s="1" t="s">
        <v>26</v>
      </c>
      <c r="C12" s="1">
        <v>20.552</v>
      </c>
      <c r="D12" s="1">
        <v>4.5339999999999998</v>
      </c>
      <c r="E12" s="1">
        <v>5.2590000000000003</v>
      </c>
      <c r="F12" s="1">
        <v>65.302000000000007</v>
      </c>
      <c r="G12" s="1">
        <v>0.88</v>
      </c>
      <c r="H12" s="1">
        <v>1.665</v>
      </c>
      <c r="I12" s="1">
        <v>0.217</v>
      </c>
      <c r="J12" s="1">
        <v>0.746</v>
      </c>
      <c r="K12" s="1">
        <v>0.151</v>
      </c>
      <c r="L12" s="1">
        <v>0.249</v>
      </c>
      <c r="M12" s="1">
        <v>0.13200000000000001</v>
      </c>
      <c r="N12" s="1">
        <v>2E-3</v>
      </c>
      <c r="O12" s="1">
        <v>1.2E-2</v>
      </c>
      <c r="P12" s="1">
        <v>98.340999999999994</v>
      </c>
      <c r="Q12" s="1">
        <v>2.0990000000000002</v>
      </c>
    </row>
    <row r="13" spans="1:17" x14ac:dyDescent="0.35">
      <c r="A13" s="1">
        <v>12</v>
      </c>
      <c r="B13" s="1" t="s">
        <v>27</v>
      </c>
      <c r="C13" s="1">
        <v>20.613</v>
      </c>
      <c r="D13" s="1">
        <v>4.5529999999999999</v>
      </c>
      <c r="E13" s="1">
        <v>5.26</v>
      </c>
      <c r="F13" s="1">
        <v>65.271000000000001</v>
      </c>
      <c r="G13" s="1">
        <v>0.86899999999999999</v>
      </c>
      <c r="H13" s="1">
        <v>1.629</v>
      </c>
      <c r="I13" s="1">
        <v>0.215</v>
      </c>
      <c r="J13" s="1">
        <v>0.73899999999999999</v>
      </c>
      <c r="K13" s="1">
        <v>0.15</v>
      </c>
      <c r="L13" s="1">
        <v>0.254</v>
      </c>
      <c r="M13" s="1">
        <v>0.13300000000000001</v>
      </c>
      <c r="N13" s="1">
        <v>2E-3</v>
      </c>
      <c r="O13" s="1">
        <v>1.0999999999999999E-2</v>
      </c>
      <c r="P13" s="1">
        <v>98.006</v>
      </c>
      <c r="Q13" s="1">
        <v>2.101</v>
      </c>
    </row>
    <row r="14" spans="1:17" x14ac:dyDescent="0.35">
      <c r="A14" s="1">
        <v>13</v>
      </c>
      <c r="B14" s="1" t="s">
        <v>28</v>
      </c>
      <c r="C14" s="1">
        <v>20.466000000000001</v>
      </c>
      <c r="D14" s="1">
        <v>4.5110000000000001</v>
      </c>
      <c r="E14" s="1">
        <v>5.2450000000000001</v>
      </c>
      <c r="F14" s="1">
        <v>65.44</v>
      </c>
      <c r="G14" s="1">
        <v>0.86299999999999999</v>
      </c>
      <c r="H14" s="1">
        <v>1.651</v>
      </c>
      <c r="I14" s="1">
        <v>0.219</v>
      </c>
      <c r="J14" s="1">
        <v>0.76100000000000001</v>
      </c>
      <c r="K14" s="1">
        <v>0.14899999999999999</v>
      </c>
      <c r="L14" s="1">
        <v>0.249</v>
      </c>
      <c r="M14" s="1">
        <v>0.13400000000000001</v>
      </c>
      <c r="N14" s="1">
        <v>2E-3</v>
      </c>
      <c r="O14" s="1">
        <v>1.0999999999999999E-2</v>
      </c>
      <c r="P14" s="1">
        <v>98.959000000000003</v>
      </c>
      <c r="Q14" s="1">
        <v>2.0979999999999999</v>
      </c>
    </row>
    <row r="15" spans="1:17" x14ac:dyDescent="0.35">
      <c r="A15" s="1">
        <v>14</v>
      </c>
      <c r="B15" s="1" t="s">
        <v>29</v>
      </c>
      <c r="C15" s="1">
        <v>20.513999999999999</v>
      </c>
      <c r="D15" s="1">
        <v>4.5789999999999997</v>
      </c>
      <c r="E15" s="1">
        <v>5.3140000000000001</v>
      </c>
      <c r="F15" s="1">
        <v>65.426000000000002</v>
      </c>
      <c r="G15" s="1">
        <v>0.88300000000000001</v>
      </c>
      <c r="H15" s="1">
        <v>1.504</v>
      </c>
      <c r="I15" s="1">
        <v>0.216</v>
      </c>
      <c r="J15" s="1">
        <v>0.71899999999999997</v>
      </c>
      <c r="K15" s="1">
        <v>0.153</v>
      </c>
      <c r="L15" s="1">
        <v>0.25</v>
      </c>
      <c r="M15" s="1">
        <v>0.13200000000000001</v>
      </c>
      <c r="N15" s="1">
        <v>2E-3</v>
      </c>
      <c r="O15" s="1">
        <v>1.0999999999999999E-2</v>
      </c>
      <c r="P15" s="1">
        <v>98.552999999999997</v>
      </c>
      <c r="Q15" s="1">
        <v>2.073</v>
      </c>
    </row>
    <row r="16" spans="1:17" x14ac:dyDescent="0.35">
      <c r="A16" s="1">
        <v>15</v>
      </c>
      <c r="B16" s="1" t="s">
        <v>30</v>
      </c>
      <c r="C16" s="1">
        <v>20.483000000000001</v>
      </c>
      <c r="D16" s="1">
        <v>4.5830000000000002</v>
      </c>
      <c r="E16" s="1">
        <v>5.3179999999999996</v>
      </c>
      <c r="F16" s="1">
        <v>65.388000000000005</v>
      </c>
      <c r="G16" s="1">
        <v>0.879</v>
      </c>
      <c r="H16" s="1">
        <v>1.5649999999999999</v>
      </c>
      <c r="I16" s="1">
        <v>0.215</v>
      </c>
      <c r="J16" s="1">
        <v>0.71599999999999997</v>
      </c>
      <c r="K16" s="1">
        <v>0.154</v>
      </c>
      <c r="L16" s="1">
        <v>0.252</v>
      </c>
      <c r="M16" s="1">
        <v>0.13300000000000001</v>
      </c>
      <c r="N16" s="1">
        <v>2E-3</v>
      </c>
      <c r="O16" s="1">
        <v>1.2E-2</v>
      </c>
      <c r="P16" s="1">
        <v>98.608999999999995</v>
      </c>
      <c r="Q16" s="1">
        <v>2.069</v>
      </c>
    </row>
    <row r="17" spans="1:17" x14ac:dyDescent="0.35">
      <c r="A17" s="1">
        <v>16</v>
      </c>
      <c r="B17" s="1" t="s">
        <v>31</v>
      </c>
      <c r="C17" s="1">
        <v>20.46</v>
      </c>
      <c r="D17" s="1">
        <v>4.57</v>
      </c>
      <c r="E17" s="1">
        <v>5.3559999999999999</v>
      </c>
      <c r="F17" s="1">
        <v>65.433999999999997</v>
      </c>
      <c r="G17" s="1">
        <v>0.86899999999999999</v>
      </c>
      <c r="H17" s="1">
        <v>1.52</v>
      </c>
      <c r="I17" s="1">
        <v>0.21299999999999999</v>
      </c>
      <c r="J17" s="1">
        <v>0.72299999999999998</v>
      </c>
      <c r="K17" s="1">
        <v>0.154</v>
      </c>
      <c r="L17" s="1">
        <v>0.255</v>
      </c>
      <c r="M17" s="1">
        <v>0.13400000000000001</v>
      </c>
      <c r="N17" s="1">
        <v>2E-3</v>
      </c>
      <c r="O17" s="1">
        <v>1.0999999999999999E-2</v>
      </c>
      <c r="P17" s="1">
        <v>98.763000000000005</v>
      </c>
      <c r="Q17" s="1">
        <v>2.0609999999999999</v>
      </c>
    </row>
    <row r="18" spans="1:17" x14ac:dyDescent="0.35">
      <c r="A18" s="1">
        <v>17</v>
      </c>
      <c r="B18" s="1" t="s">
        <v>32</v>
      </c>
      <c r="C18" s="1">
        <v>20.440000000000001</v>
      </c>
      <c r="D18" s="1">
        <v>4.548</v>
      </c>
      <c r="E18" s="1">
        <v>5.1760000000000002</v>
      </c>
      <c r="F18" s="1">
        <v>65.543000000000006</v>
      </c>
      <c r="G18" s="1">
        <v>0.88400000000000001</v>
      </c>
      <c r="H18" s="1">
        <v>1.605</v>
      </c>
      <c r="I18" s="1">
        <v>0.21299999999999999</v>
      </c>
      <c r="J18" s="1">
        <v>0.73399999999999999</v>
      </c>
      <c r="K18" s="1">
        <v>0.159</v>
      </c>
      <c r="L18" s="1">
        <v>0.253</v>
      </c>
      <c r="M18" s="1">
        <v>0.13200000000000001</v>
      </c>
      <c r="N18" s="1">
        <v>2E-3</v>
      </c>
      <c r="O18" s="1">
        <v>1.2E-2</v>
      </c>
      <c r="P18" s="1">
        <v>99.227999999999994</v>
      </c>
      <c r="Q18" s="1">
        <v>2.1019999999999999</v>
      </c>
    </row>
    <row r="19" spans="1:17" x14ac:dyDescent="0.35">
      <c r="A19" s="1">
        <v>18</v>
      </c>
      <c r="B19" s="1" t="s">
        <v>33</v>
      </c>
      <c r="C19" s="1">
        <v>20.440000000000001</v>
      </c>
      <c r="D19" s="1">
        <v>4.5519999999999996</v>
      </c>
      <c r="E19" s="1">
        <v>5.2149999999999999</v>
      </c>
      <c r="F19" s="1">
        <v>65.554000000000002</v>
      </c>
      <c r="G19" s="1">
        <v>0.88200000000000001</v>
      </c>
      <c r="H19" s="1">
        <v>1.5580000000000001</v>
      </c>
      <c r="I19" s="1">
        <v>0.21299999999999999</v>
      </c>
      <c r="J19" s="1">
        <v>0.72599999999999998</v>
      </c>
      <c r="K19" s="1">
        <v>0.16</v>
      </c>
      <c r="L19" s="1">
        <v>0.253</v>
      </c>
      <c r="M19" s="1">
        <v>0.13500000000000001</v>
      </c>
      <c r="N19" s="1">
        <v>2E-3</v>
      </c>
      <c r="O19" s="1">
        <v>1.0999999999999999E-2</v>
      </c>
      <c r="P19" s="1">
        <v>99.197000000000003</v>
      </c>
      <c r="Q19" s="1">
        <v>2.093</v>
      </c>
    </row>
    <row r="20" spans="1:17" x14ac:dyDescent="0.35">
      <c r="A20" s="1">
        <v>19</v>
      </c>
      <c r="B20" s="1" t="s">
        <v>34</v>
      </c>
      <c r="C20" s="1">
        <v>20.393000000000001</v>
      </c>
      <c r="D20" s="1">
        <v>4.5350000000000001</v>
      </c>
      <c r="E20" s="1">
        <v>5.1970000000000001</v>
      </c>
      <c r="F20" s="1">
        <v>65.617999999999995</v>
      </c>
      <c r="G20" s="1">
        <v>0.877</v>
      </c>
      <c r="H20" s="1">
        <v>1.581</v>
      </c>
      <c r="I20" s="1">
        <v>0.214</v>
      </c>
      <c r="J20" s="1">
        <v>0.73</v>
      </c>
      <c r="K20" s="1">
        <v>0.157</v>
      </c>
      <c r="L20" s="1">
        <v>0.252</v>
      </c>
      <c r="M20" s="1">
        <v>0.13300000000000001</v>
      </c>
      <c r="N20" s="1">
        <v>2E-3</v>
      </c>
      <c r="O20" s="1">
        <v>1.2E-2</v>
      </c>
      <c r="P20" s="1">
        <v>99.540999999999997</v>
      </c>
      <c r="Q20" s="1">
        <v>2.0950000000000002</v>
      </c>
    </row>
    <row r="21" spans="1:17" x14ac:dyDescent="0.35">
      <c r="A21" s="1">
        <v>20</v>
      </c>
      <c r="B21" s="1" t="s">
        <v>35</v>
      </c>
      <c r="C21" s="1">
        <v>20.518999999999998</v>
      </c>
      <c r="D21" s="1">
        <v>4.5819999999999999</v>
      </c>
      <c r="E21" s="1">
        <v>5.2779999999999996</v>
      </c>
      <c r="F21" s="1">
        <v>65.417000000000002</v>
      </c>
      <c r="G21" s="1">
        <v>0.879</v>
      </c>
      <c r="H21" s="1">
        <v>1.5349999999999999</v>
      </c>
      <c r="I21" s="1">
        <v>0.214</v>
      </c>
      <c r="J21" s="1">
        <v>0.71399999999999997</v>
      </c>
      <c r="K21" s="1">
        <v>0.157</v>
      </c>
      <c r="L21" s="1">
        <v>0.26</v>
      </c>
      <c r="M21" s="1">
        <v>0.13400000000000001</v>
      </c>
      <c r="N21" s="1">
        <v>2E-3</v>
      </c>
      <c r="O21" s="1">
        <v>1.0999999999999999E-2</v>
      </c>
      <c r="P21" s="1">
        <v>98.546000000000006</v>
      </c>
      <c r="Q21" s="1">
        <v>2.081</v>
      </c>
    </row>
    <row r="22" spans="1:17" x14ac:dyDescent="0.35">
      <c r="A22" s="1">
        <v>21</v>
      </c>
      <c r="B22" s="1" t="s">
        <v>30</v>
      </c>
      <c r="C22" s="1">
        <v>20.536999999999999</v>
      </c>
      <c r="D22" s="1">
        <v>4.5640000000000001</v>
      </c>
      <c r="E22" s="1">
        <v>5.2439999999999998</v>
      </c>
      <c r="F22" s="1">
        <v>65.408000000000001</v>
      </c>
      <c r="G22" s="1">
        <v>0.871</v>
      </c>
      <c r="H22" s="1">
        <v>1.5880000000000001</v>
      </c>
      <c r="I22" s="1">
        <v>0.21099999999999999</v>
      </c>
      <c r="J22" s="1">
        <v>0.72499999999999998</v>
      </c>
      <c r="K22" s="1">
        <v>0.158</v>
      </c>
      <c r="L22" s="1">
        <v>0.25</v>
      </c>
      <c r="M22" s="1">
        <v>0.13300000000000001</v>
      </c>
      <c r="N22" s="1">
        <v>2E-3</v>
      </c>
      <c r="O22" s="1">
        <v>1.0999999999999999E-2</v>
      </c>
      <c r="P22" s="1">
        <v>98.524000000000001</v>
      </c>
      <c r="Q22" s="1">
        <v>2.0939999999999999</v>
      </c>
    </row>
    <row r="23" spans="1:17" x14ac:dyDescent="0.35">
      <c r="A23" s="1">
        <v>22</v>
      </c>
      <c r="B23" s="1" t="s">
        <v>31</v>
      </c>
      <c r="C23" s="1">
        <v>20.402999999999999</v>
      </c>
      <c r="D23" s="1">
        <v>4.5220000000000002</v>
      </c>
      <c r="E23" s="1">
        <v>5.2430000000000003</v>
      </c>
      <c r="F23" s="1">
        <v>65.457999999999998</v>
      </c>
      <c r="G23" s="1">
        <v>0.87</v>
      </c>
      <c r="H23" s="1">
        <v>1.673</v>
      </c>
      <c r="I23" s="1">
        <v>0.223</v>
      </c>
      <c r="J23" s="1">
        <v>0.75900000000000001</v>
      </c>
      <c r="K23" s="1">
        <v>0.153</v>
      </c>
      <c r="L23" s="1">
        <v>0.25</v>
      </c>
      <c r="M23" s="1">
        <v>0.13300000000000001</v>
      </c>
      <c r="N23" s="1">
        <v>2E-3</v>
      </c>
      <c r="O23" s="1">
        <v>1.0999999999999999E-2</v>
      </c>
      <c r="P23" s="1">
        <v>99.233999999999995</v>
      </c>
      <c r="Q23" s="1">
        <v>2.089</v>
      </c>
    </row>
    <row r="24" spans="1:17" x14ac:dyDescent="0.35">
      <c r="A24" s="1">
        <v>23</v>
      </c>
      <c r="B24" s="1" t="s">
        <v>32</v>
      </c>
      <c r="C24" s="1">
        <v>20.27</v>
      </c>
      <c r="D24" s="1">
        <v>4.5620000000000003</v>
      </c>
      <c r="E24" s="1">
        <v>5.1280000000000001</v>
      </c>
      <c r="F24" s="1">
        <v>65.683999999999997</v>
      </c>
      <c r="G24" s="1">
        <v>0.88400000000000001</v>
      </c>
      <c r="H24" s="1">
        <v>1.6970000000000001</v>
      </c>
      <c r="I24" s="1">
        <v>0.21099999999999999</v>
      </c>
      <c r="J24" s="1">
        <v>0.72199999999999998</v>
      </c>
      <c r="K24" s="1">
        <v>0.14899999999999999</v>
      </c>
      <c r="L24" s="1">
        <v>0.246</v>
      </c>
      <c r="M24" s="1">
        <v>0.13300000000000001</v>
      </c>
      <c r="N24" s="1">
        <v>2E-3</v>
      </c>
      <c r="O24" s="1">
        <v>1.0999999999999999E-2</v>
      </c>
      <c r="P24" s="1">
        <v>100.184</v>
      </c>
      <c r="Q24" s="1">
        <v>2.0920000000000001</v>
      </c>
    </row>
    <row r="25" spans="1:17" x14ac:dyDescent="0.35">
      <c r="A25" s="1">
        <v>24</v>
      </c>
      <c r="B25" s="1" t="s">
        <v>33</v>
      </c>
      <c r="C25" s="1">
        <v>20.541</v>
      </c>
      <c r="D25" s="1">
        <v>4.5339999999999998</v>
      </c>
      <c r="E25" s="1">
        <v>5.1289999999999996</v>
      </c>
      <c r="F25" s="1">
        <v>65.432000000000002</v>
      </c>
      <c r="G25" s="1">
        <v>0.89200000000000002</v>
      </c>
      <c r="H25" s="1">
        <v>1.6539999999999999</v>
      </c>
      <c r="I25" s="1">
        <v>0.218</v>
      </c>
      <c r="J25" s="1">
        <v>0.752</v>
      </c>
      <c r="K25" s="1">
        <v>0.151</v>
      </c>
      <c r="L25" s="1">
        <v>0.248</v>
      </c>
      <c r="M25" s="1">
        <v>0.13400000000000001</v>
      </c>
      <c r="N25" s="1">
        <v>2E-3</v>
      </c>
      <c r="O25" s="1">
        <v>1.0999999999999999E-2</v>
      </c>
      <c r="P25" s="1">
        <v>98.704999999999998</v>
      </c>
      <c r="Q25" s="1">
        <v>2.1259999999999999</v>
      </c>
    </row>
    <row r="26" spans="1:17" x14ac:dyDescent="0.35">
      <c r="A26" s="1">
        <v>25</v>
      </c>
      <c r="B26" s="1" t="s">
        <v>36</v>
      </c>
      <c r="C26" s="1">
        <v>20.273</v>
      </c>
      <c r="D26" s="1">
        <v>4.5449999999999999</v>
      </c>
      <c r="E26" s="1">
        <v>5.1269999999999998</v>
      </c>
      <c r="F26" s="1">
        <v>65.712000000000003</v>
      </c>
      <c r="G26" s="1">
        <v>0.89</v>
      </c>
      <c r="H26" s="1">
        <v>1.679</v>
      </c>
      <c r="I26" s="1">
        <v>0.20699999999999999</v>
      </c>
      <c r="J26" s="1">
        <v>0.72199999999999998</v>
      </c>
      <c r="K26" s="1">
        <v>0.15</v>
      </c>
      <c r="L26" s="1">
        <v>0.248</v>
      </c>
      <c r="M26" s="1">
        <v>0.13200000000000001</v>
      </c>
      <c r="N26" s="1">
        <v>2E-3</v>
      </c>
      <c r="O26" s="1">
        <v>1.2E-2</v>
      </c>
      <c r="P26" s="1">
        <v>100.247</v>
      </c>
      <c r="Q26" s="1">
        <v>2.0960000000000001</v>
      </c>
    </row>
    <row r="27" spans="1:17" x14ac:dyDescent="0.35">
      <c r="B27" s="3" t="s">
        <v>38</v>
      </c>
      <c r="C27" s="4">
        <f>AVERAGE(C2:C26)</f>
        <v>20.448999999999998</v>
      </c>
      <c r="D27" s="4">
        <f t="shared" ref="D27:Q27" si="0">AVERAGE(D2:D26)</f>
        <v>4.5724399999999994</v>
      </c>
      <c r="E27" s="4">
        <f t="shared" si="0"/>
        <v>5.246999999999999</v>
      </c>
      <c r="F27" s="4">
        <f t="shared" si="0"/>
        <v>65.41028</v>
      </c>
      <c r="G27" s="4">
        <f t="shared" si="0"/>
        <v>0.88068000000000002</v>
      </c>
      <c r="H27" s="4">
        <f t="shared" si="0"/>
        <v>1.6294400000000002</v>
      </c>
      <c r="I27" s="4">
        <f t="shared" si="0"/>
        <v>0.21648000000000003</v>
      </c>
      <c r="J27" s="4">
        <f t="shared" si="0"/>
        <v>0.7434400000000001</v>
      </c>
      <c r="K27" s="4">
        <f t="shared" si="0"/>
        <v>0.15391999999999997</v>
      </c>
      <c r="L27" s="4">
        <f t="shared" si="0"/>
        <v>0.25172000000000005</v>
      </c>
      <c r="M27" s="4">
        <f t="shared" si="0"/>
        <v>0.13288</v>
      </c>
      <c r="N27" s="4">
        <f t="shared" si="0"/>
        <v>2.0000000000000013E-3</v>
      </c>
      <c r="O27" s="4">
        <f t="shared" si="0"/>
        <v>1.1240000000000003E-2</v>
      </c>
      <c r="P27" s="4">
        <f t="shared" si="0"/>
        <v>98.878079999999997</v>
      </c>
      <c r="Q27" s="4">
        <f t="shared" si="0"/>
        <v>2.0827199999999992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3E7E-2FBE-49A5-8125-55E3F7E0FBD0}">
  <dimension ref="A1:I7"/>
  <sheetViews>
    <sheetView workbookViewId="0">
      <selection activeCell="B7" sqref="B7:I7"/>
    </sheetView>
  </sheetViews>
  <sheetFormatPr defaultRowHeight="14.5" x14ac:dyDescent="0.35"/>
  <cols>
    <col min="2" max="2" width="17.36328125" bestFit="1" customWidth="1"/>
  </cols>
  <sheetData>
    <row r="1" spans="1:9" x14ac:dyDescent="0.35">
      <c r="A1" s="11" t="s">
        <v>37</v>
      </c>
      <c r="B1" s="12" t="s">
        <v>58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55</v>
      </c>
      <c r="H1" s="12" t="s">
        <v>56</v>
      </c>
      <c r="I1" s="13" t="s">
        <v>57</v>
      </c>
    </row>
    <row r="2" spans="1:9" x14ac:dyDescent="0.35">
      <c r="A2" s="10">
        <v>1</v>
      </c>
      <c r="B2" s="1" t="s">
        <v>46</v>
      </c>
      <c r="C2" s="1">
        <v>33.28</v>
      </c>
      <c r="D2" s="1">
        <v>19.902000000000001</v>
      </c>
      <c r="E2" s="1">
        <v>0.44600000000000001</v>
      </c>
      <c r="F2" s="1">
        <v>36.396000000000001</v>
      </c>
      <c r="G2" s="1">
        <v>8.2750000000000004</v>
      </c>
      <c r="H2" s="1">
        <v>0.186</v>
      </c>
      <c r="I2" s="7">
        <v>0.51600000000000001</v>
      </c>
    </row>
    <row r="3" spans="1:9" x14ac:dyDescent="0.35">
      <c r="A3" s="10">
        <v>2</v>
      </c>
      <c r="B3" s="1" t="s">
        <v>47</v>
      </c>
      <c r="C3" s="1">
        <v>33.253</v>
      </c>
      <c r="D3" s="1">
        <v>19.702000000000002</v>
      </c>
      <c r="E3" s="1">
        <v>0.60699999999999998</v>
      </c>
      <c r="F3" s="1">
        <v>36.472999999999999</v>
      </c>
      <c r="G3" s="1">
        <v>8.2539999999999996</v>
      </c>
      <c r="H3" s="1">
        <v>0.19600000000000001</v>
      </c>
      <c r="I3" s="7">
        <v>0.51500000000000001</v>
      </c>
    </row>
    <row r="4" spans="1:9" x14ac:dyDescent="0.35">
      <c r="A4" s="10">
        <v>3</v>
      </c>
      <c r="B4" s="1" t="s">
        <v>48</v>
      </c>
      <c r="C4" s="1">
        <v>33.689</v>
      </c>
      <c r="D4" s="1">
        <v>20.626000000000001</v>
      </c>
      <c r="E4" s="1">
        <v>0.16400000000000001</v>
      </c>
      <c r="F4" s="1">
        <v>36.104999999999997</v>
      </c>
      <c r="G4" s="1">
        <v>7.7</v>
      </c>
      <c r="H4" s="1">
        <v>0.128</v>
      </c>
      <c r="I4" s="7">
        <v>0.58799999999999997</v>
      </c>
    </row>
    <row r="5" spans="1:9" x14ac:dyDescent="0.35">
      <c r="A5" s="10">
        <v>4</v>
      </c>
      <c r="B5" s="1" t="s">
        <v>49</v>
      </c>
      <c r="C5" s="1">
        <v>33.679000000000002</v>
      </c>
      <c r="D5" s="1">
        <v>20.51</v>
      </c>
      <c r="E5" s="1">
        <v>0.23699999999999999</v>
      </c>
      <c r="F5" s="1">
        <v>36.212000000000003</v>
      </c>
      <c r="G5" s="1">
        <v>7.6319999999999997</v>
      </c>
      <c r="H5" s="1">
        <v>0.14499999999999999</v>
      </c>
      <c r="I5" s="7">
        <v>0.58499999999999996</v>
      </c>
    </row>
    <row r="6" spans="1:9" x14ac:dyDescent="0.35">
      <c r="A6" s="14">
        <v>5</v>
      </c>
      <c r="B6" s="8" t="s">
        <v>50</v>
      </c>
      <c r="C6" s="8">
        <v>33.395000000000003</v>
      </c>
      <c r="D6" s="8">
        <v>20.088999999999999</v>
      </c>
      <c r="E6" s="8">
        <v>0.39</v>
      </c>
      <c r="F6" s="8">
        <v>36.880000000000003</v>
      </c>
      <c r="G6" s="8">
        <v>7.5730000000000004</v>
      </c>
      <c r="H6" s="8">
        <v>0.122</v>
      </c>
      <c r="I6" s="9">
        <v>0.55000000000000004</v>
      </c>
    </row>
    <row r="7" spans="1:9" x14ac:dyDescent="0.35">
      <c r="A7" s="14"/>
      <c r="B7" s="15" t="s">
        <v>72</v>
      </c>
      <c r="C7" s="15">
        <f>AVERAGE(C2:C6)</f>
        <v>33.459200000000003</v>
      </c>
      <c r="D7" s="15">
        <f t="shared" ref="D7:I7" si="0">AVERAGE(D2:D6)</f>
        <v>20.165800000000001</v>
      </c>
      <c r="E7" s="15">
        <f t="shared" si="0"/>
        <v>0.36879999999999996</v>
      </c>
      <c r="F7" s="15">
        <f t="shared" si="0"/>
        <v>36.413199999999996</v>
      </c>
      <c r="G7" s="15">
        <f t="shared" si="0"/>
        <v>7.8867999999999991</v>
      </c>
      <c r="H7" s="15">
        <f t="shared" si="0"/>
        <v>0.15540000000000001</v>
      </c>
      <c r="I7" s="15">
        <f t="shared" si="0"/>
        <v>0.55080000000000007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EFD0-7515-44A6-9040-BF8F39C3E673}">
  <dimension ref="A1:O15"/>
  <sheetViews>
    <sheetView workbookViewId="0">
      <selection activeCell="L18" sqref="L18"/>
    </sheetView>
  </sheetViews>
  <sheetFormatPr defaultRowHeight="14.5" x14ac:dyDescent="0.35"/>
  <cols>
    <col min="2" max="2" width="18.36328125" bestFit="1" customWidth="1"/>
    <col min="3" max="3" width="9.90625" customWidth="1"/>
    <col min="4" max="4" width="10.90625" customWidth="1"/>
    <col min="5" max="5" width="11.26953125" customWidth="1"/>
    <col min="6" max="6" width="9.54296875" customWidth="1"/>
    <col min="7" max="7" width="9.6328125" customWidth="1"/>
    <col min="8" max="8" width="9.36328125" customWidth="1"/>
    <col min="9" max="9" width="10.54296875" customWidth="1"/>
    <col min="10" max="10" width="9.36328125" customWidth="1"/>
    <col min="11" max="11" width="11.81640625" customWidth="1"/>
    <col min="12" max="12" width="9.7265625" customWidth="1"/>
    <col min="13" max="13" width="10.36328125" customWidth="1"/>
    <col min="14" max="14" width="11.1796875" customWidth="1"/>
  </cols>
  <sheetData>
    <row r="1" spans="1:15" x14ac:dyDescent="0.35">
      <c r="A1" t="s">
        <v>37</v>
      </c>
      <c r="B1" s="6" t="s">
        <v>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59</v>
      </c>
    </row>
    <row r="2" spans="1:15" x14ac:dyDescent="0.35">
      <c r="A2" s="1">
        <v>1</v>
      </c>
      <c r="B2" s="1" t="s">
        <v>60</v>
      </c>
      <c r="C2" s="1">
        <v>54.531999999999996</v>
      </c>
      <c r="D2" s="1">
        <v>31.491</v>
      </c>
      <c r="E2" s="1">
        <v>5.4390000000000001</v>
      </c>
      <c r="F2" s="1">
        <v>0.39700000000000002</v>
      </c>
      <c r="G2" s="1">
        <v>2.2549999999999999</v>
      </c>
      <c r="H2" s="1">
        <v>0.66700000000000004</v>
      </c>
      <c r="I2" s="1">
        <v>0.156</v>
      </c>
      <c r="J2" s="1">
        <v>0.996</v>
      </c>
      <c r="K2" s="1">
        <v>7.2999999999999995E-2</v>
      </c>
      <c r="L2" s="1">
        <v>1.742</v>
      </c>
      <c r="M2" s="1">
        <v>0.249</v>
      </c>
      <c r="N2" s="1">
        <v>2E-3</v>
      </c>
      <c r="O2" s="7">
        <v>98</v>
      </c>
    </row>
    <row r="3" spans="1:15" x14ac:dyDescent="0.35">
      <c r="A3" s="1">
        <v>2</v>
      </c>
      <c r="B3" s="1" t="s">
        <v>61</v>
      </c>
      <c r="C3" s="1">
        <v>43.43</v>
      </c>
      <c r="D3" s="1">
        <v>19.8</v>
      </c>
      <c r="E3" s="1">
        <v>10.337</v>
      </c>
      <c r="F3" s="1">
        <v>12.582000000000001</v>
      </c>
      <c r="G3" s="1">
        <v>4.1539999999999999</v>
      </c>
      <c r="H3" s="1">
        <v>5.984</v>
      </c>
      <c r="I3" s="1">
        <v>0.17100000000000001</v>
      </c>
      <c r="J3" s="1">
        <v>8.8999999999999996E-2</v>
      </c>
      <c r="K3" s="1">
        <v>4.5999999999999999E-2</v>
      </c>
      <c r="L3" s="1">
        <v>1.2589999999999999</v>
      </c>
      <c r="M3" s="1">
        <v>0.14699999999999999</v>
      </c>
      <c r="N3" s="1">
        <v>2E-3</v>
      </c>
      <c r="O3" s="7">
        <v>98</v>
      </c>
    </row>
    <row r="4" spans="1:15" x14ac:dyDescent="0.35">
      <c r="A4" s="1">
        <v>3</v>
      </c>
      <c r="B4" s="1" t="s">
        <v>60</v>
      </c>
      <c r="C4" s="1">
        <v>10.148999999999999</v>
      </c>
      <c r="D4" s="1">
        <v>0.28399999999999997</v>
      </c>
      <c r="E4" s="1">
        <v>-1.2370000000000001</v>
      </c>
      <c r="F4" s="1">
        <v>28.544</v>
      </c>
      <c r="G4" s="1">
        <v>2.2690000000000001</v>
      </c>
      <c r="H4" s="1">
        <v>57.262999999999998</v>
      </c>
      <c r="I4" s="1">
        <v>0.14000000000000001</v>
      </c>
      <c r="J4" s="1">
        <v>2.7E-2</v>
      </c>
      <c r="K4" s="1">
        <v>-0.01</v>
      </c>
      <c r="L4" s="1">
        <v>0.41799999999999998</v>
      </c>
      <c r="M4" s="1">
        <v>0.16500000000000001</v>
      </c>
      <c r="N4" s="1">
        <v>-1.2999999999999999E-2</v>
      </c>
      <c r="O4" s="7">
        <v>98</v>
      </c>
    </row>
    <row r="5" spans="1:15" x14ac:dyDescent="0.35">
      <c r="A5" s="1">
        <v>4</v>
      </c>
      <c r="B5" s="1" t="s">
        <v>62</v>
      </c>
      <c r="C5" s="1">
        <v>55.828000000000003</v>
      </c>
      <c r="D5" s="1">
        <v>26.902999999999999</v>
      </c>
      <c r="E5" s="1">
        <v>8.2639999999999993</v>
      </c>
      <c r="F5" s="1">
        <v>1.042</v>
      </c>
      <c r="G5" s="1">
        <v>2.2730000000000001</v>
      </c>
      <c r="H5" s="1">
        <v>0.61199999999999999</v>
      </c>
      <c r="I5" s="1">
        <v>0.152</v>
      </c>
      <c r="J5" s="1">
        <v>0.90200000000000002</v>
      </c>
      <c r="K5" s="1">
        <v>0.16</v>
      </c>
      <c r="L5" s="1">
        <v>1.673</v>
      </c>
      <c r="M5" s="1">
        <v>0.17799999999999999</v>
      </c>
      <c r="N5" s="1">
        <v>1.4E-2</v>
      </c>
      <c r="O5" s="7">
        <v>98</v>
      </c>
    </row>
    <row r="6" spans="1:15" x14ac:dyDescent="0.35">
      <c r="A6" s="1">
        <v>5</v>
      </c>
      <c r="B6" s="1" t="s">
        <v>63</v>
      </c>
      <c r="C6" s="1">
        <v>51.808999999999997</v>
      </c>
      <c r="D6" s="1">
        <v>26.8</v>
      </c>
      <c r="E6" s="1">
        <v>7.7949999999999999</v>
      </c>
      <c r="F6" s="1">
        <v>5.4020000000000001</v>
      </c>
      <c r="G6" s="1">
        <v>2.8380000000000001</v>
      </c>
      <c r="H6" s="1">
        <v>1.2889999999999999</v>
      </c>
      <c r="I6" s="1">
        <v>0.153</v>
      </c>
      <c r="J6" s="1">
        <v>7.8E-2</v>
      </c>
      <c r="K6" s="1">
        <v>2.9000000000000001E-2</v>
      </c>
      <c r="L6" s="1">
        <v>1.65</v>
      </c>
      <c r="M6" s="1">
        <v>0.14499999999999999</v>
      </c>
      <c r="N6" s="1">
        <v>1.2E-2</v>
      </c>
      <c r="O6" s="7">
        <v>98</v>
      </c>
    </row>
    <row r="7" spans="1:15" x14ac:dyDescent="0.35">
      <c r="A7" s="1">
        <v>6</v>
      </c>
      <c r="B7" s="1" t="s">
        <v>64</v>
      </c>
      <c r="C7" s="1">
        <v>38.781999999999996</v>
      </c>
      <c r="D7" s="1">
        <v>18.373999999999999</v>
      </c>
      <c r="E7" s="1">
        <v>12.131</v>
      </c>
      <c r="F7" s="1">
        <v>15.532</v>
      </c>
      <c r="G7" s="1">
        <v>4.47</v>
      </c>
      <c r="H7" s="1">
        <v>7.0330000000000004</v>
      </c>
      <c r="I7" s="1">
        <v>0.17899999999999999</v>
      </c>
      <c r="J7" s="1">
        <v>0.09</v>
      </c>
      <c r="K7" s="1">
        <v>5.2999999999999999E-2</v>
      </c>
      <c r="L7" s="1">
        <v>1.2010000000000001</v>
      </c>
      <c r="M7" s="1">
        <v>0.14899999999999999</v>
      </c>
      <c r="N7" s="1">
        <v>4.0000000000000001E-3</v>
      </c>
      <c r="O7" s="7">
        <v>98</v>
      </c>
    </row>
    <row r="8" spans="1:15" x14ac:dyDescent="0.35">
      <c r="A8" s="1">
        <v>7</v>
      </c>
      <c r="B8" s="1" t="s">
        <v>65</v>
      </c>
      <c r="C8" s="1">
        <v>52.503</v>
      </c>
      <c r="D8" s="1">
        <v>25.68</v>
      </c>
      <c r="E8" s="1">
        <v>7.1890000000000001</v>
      </c>
      <c r="F8" s="1">
        <v>5.8630000000000004</v>
      </c>
      <c r="G8" s="1">
        <v>3.01</v>
      </c>
      <c r="H8" s="1">
        <v>1.6870000000000001</v>
      </c>
      <c r="I8" s="1">
        <v>0.157</v>
      </c>
      <c r="J8" s="1">
        <v>0.193</v>
      </c>
      <c r="K8" s="1">
        <v>3.1E-2</v>
      </c>
      <c r="L8" s="1">
        <v>1.508</v>
      </c>
      <c r="M8" s="1">
        <v>0.16300000000000001</v>
      </c>
      <c r="N8" s="1">
        <v>1.4E-2</v>
      </c>
      <c r="O8" s="7">
        <v>98</v>
      </c>
    </row>
    <row r="9" spans="1:15" x14ac:dyDescent="0.35">
      <c r="A9" s="1">
        <v>8</v>
      </c>
      <c r="B9" s="1" t="s">
        <v>66</v>
      </c>
      <c r="C9" s="1">
        <v>53.835999999999999</v>
      </c>
      <c r="D9" s="1">
        <v>29.701000000000001</v>
      </c>
      <c r="E9" s="1">
        <v>6.2489999999999997</v>
      </c>
      <c r="F9" s="1">
        <v>1.476</v>
      </c>
      <c r="G9" s="1">
        <v>2.4910000000000001</v>
      </c>
      <c r="H9" s="1">
        <v>1.1499999999999999</v>
      </c>
      <c r="I9" s="1">
        <v>0.161</v>
      </c>
      <c r="J9" s="1">
        <v>0.91</v>
      </c>
      <c r="K9" s="1">
        <v>6.3E-2</v>
      </c>
      <c r="L9" s="1">
        <v>1.6919999999999999</v>
      </c>
      <c r="M9" s="1">
        <v>0.26300000000000001</v>
      </c>
      <c r="N9" s="1">
        <v>8.9999999999999993E-3</v>
      </c>
      <c r="O9" s="7">
        <v>98</v>
      </c>
    </row>
    <row r="10" spans="1:15" x14ac:dyDescent="0.35">
      <c r="A10" s="1">
        <v>9</v>
      </c>
      <c r="B10" s="1" t="s">
        <v>67</v>
      </c>
      <c r="C10" s="1">
        <v>55.063000000000002</v>
      </c>
      <c r="D10" s="1">
        <v>31.283000000000001</v>
      </c>
      <c r="E10" s="1">
        <v>5.2850000000000001</v>
      </c>
      <c r="F10" s="1">
        <v>0.316</v>
      </c>
      <c r="G10" s="1">
        <v>2.2370000000000001</v>
      </c>
      <c r="H10" s="1">
        <v>0.66900000000000004</v>
      </c>
      <c r="I10" s="1">
        <v>0.155</v>
      </c>
      <c r="J10" s="1">
        <v>0.90900000000000003</v>
      </c>
      <c r="K10" s="1">
        <v>5.8999999999999997E-2</v>
      </c>
      <c r="L10" s="1">
        <v>1.7509999999999999</v>
      </c>
      <c r="M10" s="1">
        <v>0.26200000000000001</v>
      </c>
      <c r="N10" s="1">
        <v>8.9999999999999993E-3</v>
      </c>
      <c r="O10" s="7">
        <v>98</v>
      </c>
    </row>
    <row r="11" spans="1:15" x14ac:dyDescent="0.35">
      <c r="A11" s="1">
        <v>10</v>
      </c>
      <c r="B11" s="1" t="s">
        <v>68</v>
      </c>
      <c r="C11" s="1">
        <v>45.04</v>
      </c>
      <c r="D11" s="1">
        <v>26.67</v>
      </c>
      <c r="E11" s="1">
        <v>10.717000000000001</v>
      </c>
      <c r="F11" s="1">
        <v>7.2370000000000001</v>
      </c>
      <c r="G11" s="1">
        <v>4.5650000000000004</v>
      </c>
      <c r="H11" s="1">
        <v>1.3120000000000001</v>
      </c>
      <c r="I11" s="1">
        <v>0.23100000000000001</v>
      </c>
      <c r="J11" s="1">
        <v>0.45</v>
      </c>
      <c r="K11" s="1">
        <v>0.249</v>
      </c>
      <c r="L11" s="1">
        <v>1.276</v>
      </c>
      <c r="M11" s="1">
        <v>0.254</v>
      </c>
      <c r="N11" s="1">
        <v>-2E-3</v>
      </c>
      <c r="O11" s="7">
        <v>98</v>
      </c>
    </row>
    <row r="12" spans="1:15" x14ac:dyDescent="0.35">
      <c r="A12" s="1">
        <v>11</v>
      </c>
      <c r="B12" s="1" t="s">
        <v>66</v>
      </c>
      <c r="C12" s="1">
        <v>54.600999999999999</v>
      </c>
      <c r="D12" s="1">
        <v>31.858000000000001</v>
      </c>
      <c r="E12" s="1">
        <v>5.5709999999999997</v>
      </c>
      <c r="F12" s="1">
        <v>0.13</v>
      </c>
      <c r="G12" s="1">
        <v>2.125</v>
      </c>
      <c r="H12" s="1">
        <v>0.59599999999999997</v>
      </c>
      <c r="I12" s="1">
        <v>0.156</v>
      </c>
      <c r="J12" s="1">
        <v>0.77300000000000002</v>
      </c>
      <c r="K12" s="1">
        <v>7.1999999999999995E-2</v>
      </c>
      <c r="L12" s="1">
        <v>1.851</v>
      </c>
      <c r="M12" s="1">
        <v>0.25800000000000001</v>
      </c>
      <c r="N12" s="1">
        <v>8.9999999999999993E-3</v>
      </c>
      <c r="O12" s="7">
        <v>98</v>
      </c>
    </row>
    <row r="13" spans="1:15" x14ac:dyDescent="0.35">
      <c r="A13" s="1">
        <v>12</v>
      </c>
      <c r="B13" s="1" t="s">
        <v>69</v>
      </c>
      <c r="C13" s="1">
        <v>55.146000000000001</v>
      </c>
      <c r="D13" s="1">
        <v>31.195</v>
      </c>
      <c r="E13" s="1">
        <v>5.2539999999999996</v>
      </c>
      <c r="F13" s="1">
        <v>0.28899999999999998</v>
      </c>
      <c r="G13" s="1">
        <v>2.2389999999999999</v>
      </c>
      <c r="H13" s="1">
        <v>0.64100000000000001</v>
      </c>
      <c r="I13" s="1">
        <v>0.16</v>
      </c>
      <c r="J13" s="1">
        <v>0.93200000000000005</v>
      </c>
      <c r="K13" s="1">
        <v>6.0999999999999999E-2</v>
      </c>
      <c r="L13" s="1">
        <v>1.8080000000000001</v>
      </c>
      <c r="M13" s="1">
        <v>0.26500000000000001</v>
      </c>
      <c r="N13" s="1">
        <v>0.01</v>
      </c>
      <c r="O13" s="7">
        <v>98</v>
      </c>
    </row>
    <row r="14" spans="1:15" x14ac:dyDescent="0.35">
      <c r="A14" s="8">
        <v>13</v>
      </c>
      <c r="B14" s="8" t="s">
        <v>70</v>
      </c>
      <c r="C14" s="8">
        <v>56.487000000000002</v>
      </c>
      <c r="D14" s="8">
        <v>27.08</v>
      </c>
      <c r="E14" s="8">
        <v>6.1180000000000003</v>
      </c>
      <c r="F14" s="8">
        <v>1.849</v>
      </c>
      <c r="G14" s="8">
        <v>2.4790000000000001</v>
      </c>
      <c r="H14" s="8">
        <v>0.77500000000000002</v>
      </c>
      <c r="I14" s="8">
        <v>0.16300000000000001</v>
      </c>
      <c r="J14" s="8">
        <v>1.038</v>
      </c>
      <c r="K14" s="8">
        <v>0.129</v>
      </c>
      <c r="L14" s="8">
        <v>1.7010000000000001</v>
      </c>
      <c r="M14" s="8">
        <v>0.17399999999999999</v>
      </c>
      <c r="N14" s="8">
        <v>6.0000000000000001E-3</v>
      </c>
      <c r="O14" s="9">
        <v>98</v>
      </c>
    </row>
    <row r="15" spans="1:15" x14ac:dyDescent="0.35">
      <c r="B15" s="3" t="s">
        <v>38</v>
      </c>
      <c r="C15" s="4">
        <f>AVERAGE(Table1[SiO2 (%)])</f>
        <v>48.246615384615374</v>
      </c>
      <c r="D15" s="4">
        <f>AVERAGE(Table1[Al2O3 (%)])</f>
        <v>25.162999999999997</v>
      </c>
      <c r="E15" s="4">
        <f>AVERAGE(Table1[Fe2O3 (%)])</f>
        <v>6.8547692307692305</v>
      </c>
      <c r="F15" s="4">
        <f>AVERAGE(Table1[CaO (%)])</f>
        <v>6.204538461538462</v>
      </c>
      <c r="G15" s="4">
        <f>AVERAGE(Table1[MgO (%)])</f>
        <v>2.8773076923076917</v>
      </c>
      <c r="H15" s="4">
        <f>AVERAGE(Table1[SO3 (%)])</f>
        <v>6.1290769230769238</v>
      </c>
      <c r="I15" s="4">
        <f>AVERAGE(Table1[Na2O (%)])</f>
        <v>0.16415384615384615</v>
      </c>
      <c r="J15" s="4">
        <f>AVERAGE(Table1[K2O (%)])</f>
        <v>0.56823076923076932</v>
      </c>
      <c r="K15" s="4">
        <f>AVERAGE(Table1[Mn2O3 (%)])</f>
        <v>7.8076923076923072E-2</v>
      </c>
      <c r="L15" s="4">
        <f>AVERAGE(Table1[TiO2 (%)])</f>
        <v>1.5023076923076923</v>
      </c>
      <c r="M15" s="4">
        <f>AVERAGE(Table1[P2O5 (%)])</f>
        <v>0.20553846153846156</v>
      </c>
      <c r="N15" s="4">
        <f>AVERAGE(Table1[Cr2O3 (%)])</f>
        <v>5.8461538461538473E-3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FD3-4B66-466A-92F7-6F65BDB2C2F9}">
  <dimension ref="A1:O15"/>
  <sheetViews>
    <sheetView workbookViewId="0">
      <selection activeCell="B15" sqref="B15:O15"/>
    </sheetView>
  </sheetViews>
  <sheetFormatPr defaultRowHeight="14.5" x14ac:dyDescent="0.35"/>
  <cols>
    <col min="2" max="2" width="21.54296875" bestFit="1" customWidth="1"/>
    <col min="3" max="3" width="9.90625" customWidth="1"/>
    <col min="4" max="4" width="10.90625" customWidth="1"/>
    <col min="5" max="5" width="11.26953125" customWidth="1"/>
    <col min="6" max="6" width="9.54296875" customWidth="1"/>
    <col min="7" max="7" width="9.6328125" customWidth="1"/>
    <col min="8" max="8" width="9.36328125" customWidth="1"/>
    <col min="9" max="9" width="10.54296875" customWidth="1"/>
    <col min="10" max="10" width="9.36328125" customWidth="1"/>
    <col min="11" max="11" width="11.81640625" customWidth="1"/>
    <col min="12" max="12" width="9.7265625" customWidth="1"/>
    <col min="13" max="13" width="10.36328125" customWidth="1"/>
    <col min="14" max="14" width="11.1796875" customWidth="1"/>
  </cols>
  <sheetData>
    <row r="1" spans="1:15" x14ac:dyDescent="0.35">
      <c r="A1" s="11" t="s">
        <v>37</v>
      </c>
      <c r="B1" s="12" t="s">
        <v>71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3" t="s">
        <v>59</v>
      </c>
    </row>
    <row r="2" spans="1:15" x14ac:dyDescent="0.35">
      <c r="A2" s="10">
        <v>1</v>
      </c>
      <c r="B2" s="1" t="s">
        <v>73</v>
      </c>
      <c r="C2" s="1">
        <v>56.177999999999997</v>
      </c>
      <c r="D2" s="1">
        <v>24.78</v>
      </c>
      <c r="E2" s="1">
        <v>10.781000000000001</v>
      </c>
      <c r="F2" s="1">
        <v>0.39700000000000002</v>
      </c>
      <c r="G2" s="1">
        <v>2.2570000000000001</v>
      </c>
      <c r="H2" s="1">
        <v>0.56599999999999995</v>
      </c>
      <c r="I2" s="1">
        <v>0.156</v>
      </c>
      <c r="J2" s="1">
        <v>0.84699999999999998</v>
      </c>
      <c r="K2" s="1">
        <v>0.17100000000000001</v>
      </c>
      <c r="L2" s="1">
        <v>1.609</v>
      </c>
      <c r="M2" s="1">
        <v>0.24099999999999999</v>
      </c>
      <c r="N2" s="1">
        <v>1.9E-2</v>
      </c>
      <c r="O2" s="7">
        <v>98</v>
      </c>
    </row>
    <row r="3" spans="1:15" x14ac:dyDescent="0.35">
      <c r="A3" s="10">
        <v>2</v>
      </c>
      <c r="B3" s="1" t="s">
        <v>74</v>
      </c>
      <c r="C3" s="1">
        <v>55.393999999999998</v>
      </c>
      <c r="D3" s="1">
        <v>28.852</v>
      </c>
      <c r="E3" s="1">
        <v>7.2850000000000001</v>
      </c>
      <c r="F3" s="1">
        <v>0.49399999999999999</v>
      </c>
      <c r="G3" s="1">
        <v>2.2480000000000002</v>
      </c>
      <c r="H3" s="1">
        <v>0.67400000000000004</v>
      </c>
      <c r="I3" s="1">
        <v>0.155</v>
      </c>
      <c r="J3" s="1">
        <v>0.84099999999999997</v>
      </c>
      <c r="K3" s="1">
        <v>0.104</v>
      </c>
      <c r="L3" s="1">
        <v>1.7110000000000001</v>
      </c>
      <c r="M3" s="1">
        <v>0.23200000000000001</v>
      </c>
      <c r="N3" s="1">
        <v>0.01</v>
      </c>
      <c r="O3" s="7">
        <v>98</v>
      </c>
    </row>
    <row r="4" spans="1:15" x14ac:dyDescent="0.35">
      <c r="A4" s="10">
        <v>3</v>
      </c>
      <c r="B4" s="1" t="s">
        <v>75</v>
      </c>
      <c r="C4" s="1">
        <v>54.832000000000001</v>
      </c>
      <c r="D4" s="1">
        <v>30.138999999999999</v>
      </c>
      <c r="E4" s="1">
        <v>6.9660000000000002</v>
      </c>
      <c r="F4" s="1">
        <v>0.20499999999999999</v>
      </c>
      <c r="G4" s="1">
        <v>2.1669999999999998</v>
      </c>
      <c r="H4" s="1">
        <v>0.58199999999999996</v>
      </c>
      <c r="I4" s="1">
        <v>0.157</v>
      </c>
      <c r="J4" s="1">
        <v>0.81899999999999995</v>
      </c>
      <c r="K4" s="1">
        <v>0.09</v>
      </c>
      <c r="L4" s="1">
        <v>1.7689999999999999</v>
      </c>
      <c r="M4" s="1">
        <v>0.25900000000000001</v>
      </c>
      <c r="N4" s="1">
        <v>1.2999999999999999E-2</v>
      </c>
      <c r="O4" s="7">
        <v>98</v>
      </c>
    </row>
    <row r="5" spans="1:15" x14ac:dyDescent="0.35">
      <c r="A5" s="10">
        <v>4</v>
      </c>
      <c r="B5" s="1" t="s">
        <v>76</v>
      </c>
      <c r="C5" s="1">
        <v>55.841999999999999</v>
      </c>
      <c r="D5" s="1">
        <v>26.399000000000001</v>
      </c>
      <c r="E5" s="1">
        <v>9.6</v>
      </c>
      <c r="F5" s="1">
        <v>0.36299999999999999</v>
      </c>
      <c r="G5" s="1">
        <v>2.2210000000000001</v>
      </c>
      <c r="H5" s="1">
        <v>0.55300000000000005</v>
      </c>
      <c r="I5" s="1">
        <v>0.153</v>
      </c>
      <c r="J5" s="1">
        <v>0.83499999999999996</v>
      </c>
      <c r="K5" s="1">
        <v>0.151</v>
      </c>
      <c r="L5" s="1">
        <v>1.637</v>
      </c>
      <c r="M5" s="1">
        <v>0.22800000000000001</v>
      </c>
      <c r="N5" s="1">
        <v>1.9E-2</v>
      </c>
      <c r="O5" s="7">
        <v>98</v>
      </c>
    </row>
    <row r="6" spans="1:15" x14ac:dyDescent="0.35">
      <c r="A6" s="10">
        <v>5</v>
      </c>
      <c r="B6" s="1" t="s">
        <v>76</v>
      </c>
      <c r="C6" s="1">
        <v>54.673999999999999</v>
      </c>
      <c r="D6" s="1">
        <v>28.167000000000002</v>
      </c>
      <c r="E6" s="1">
        <v>8.6210000000000004</v>
      </c>
      <c r="F6" s="1">
        <v>0.59199999999999997</v>
      </c>
      <c r="G6" s="1">
        <v>2.27</v>
      </c>
      <c r="H6" s="1">
        <v>0.63500000000000001</v>
      </c>
      <c r="I6" s="1">
        <v>0.156</v>
      </c>
      <c r="J6" s="1">
        <v>0.86099999999999999</v>
      </c>
      <c r="K6" s="1">
        <v>0.13100000000000001</v>
      </c>
      <c r="L6" s="1">
        <v>1.65</v>
      </c>
      <c r="M6" s="1">
        <v>0.23499999999999999</v>
      </c>
      <c r="N6" s="1">
        <v>7.0000000000000001E-3</v>
      </c>
      <c r="O6" s="7">
        <v>98</v>
      </c>
    </row>
    <row r="7" spans="1:15" x14ac:dyDescent="0.35">
      <c r="A7" s="10">
        <v>6</v>
      </c>
      <c r="B7" s="1" t="s">
        <v>77</v>
      </c>
      <c r="C7" s="1">
        <v>55.283999999999999</v>
      </c>
      <c r="D7" s="1">
        <v>27.312999999999999</v>
      </c>
      <c r="E7" s="1">
        <v>8.8840000000000003</v>
      </c>
      <c r="F7" s="1">
        <v>0.51400000000000001</v>
      </c>
      <c r="G7" s="1">
        <v>2.2799999999999998</v>
      </c>
      <c r="H7" s="1">
        <v>0.69399999999999995</v>
      </c>
      <c r="I7" s="1">
        <v>0.157</v>
      </c>
      <c r="J7" s="1">
        <v>0.84199999999999997</v>
      </c>
      <c r="K7" s="1">
        <v>0.13</v>
      </c>
      <c r="L7" s="1">
        <v>1.6519999999999999</v>
      </c>
      <c r="M7" s="1">
        <v>0.23400000000000001</v>
      </c>
      <c r="N7" s="1">
        <v>1.6E-2</v>
      </c>
      <c r="O7" s="7">
        <v>98</v>
      </c>
    </row>
    <row r="8" spans="1:15" x14ac:dyDescent="0.35">
      <c r="A8" s="10">
        <v>7</v>
      </c>
      <c r="B8" s="1" t="s">
        <v>78</v>
      </c>
      <c r="C8" s="1">
        <v>54.921999999999997</v>
      </c>
      <c r="D8" s="1">
        <v>30.283999999999999</v>
      </c>
      <c r="E8" s="1">
        <v>6.2619999999999996</v>
      </c>
      <c r="F8" s="1">
        <v>0.46899999999999997</v>
      </c>
      <c r="G8" s="1">
        <v>2.2949999999999999</v>
      </c>
      <c r="H8" s="1">
        <v>0.64600000000000002</v>
      </c>
      <c r="I8" s="1">
        <v>0.161</v>
      </c>
      <c r="J8" s="1">
        <v>0.80900000000000005</v>
      </c>
      <c r="K8" s="1">
        <v>9.0999999999999998E-2</v>
      </c>
      <c r="L8" s="1">
        <v>1.79</v>
      </c>
      <c r="M8" s="1">
        <v>0.26100000000000001</v>
      </c>
      <c r="N8" s="1">
        <v>0.01</v>
      </c>
      <c r="O8" s="7">
        <v>98</v>
      </c>
    </row>
    <row r="9" spans="1:15" x14ac:dyDescent="0.35">
      <c r="A9" s="10">
        <v>8</v>
      </c>
      <c r="B9" s="1" t="s">
        <v>78</v>
      </c>
      <c r="C9" s="1">
        <v>54.024000000000001</v>
      </c>
      <c r="D9" s="1">
        <v>28.218</v>
      </c>
      <c r="E9" s="1">
        <v>8.7029999999999994</v>
      </c>
      <c r="F9" s="1">
        <v>0.91200000000000003</v>
      </c>
      <c r="G9" s="1">
        <v>2.2989999999999999</v>
      </c>
      <c r="H9" s="1">
        <v>0.86899999999999999</v>
      </c>
      <c r="I9" s="1">
        <v>0.155</v>
      </c>
      <c r="J9" s="1">
        <v>0.77300000000000002</v>
      </c>
      <c r="K9" s="1">
        <v>0.11700000000000001</v>
      </c>
      <c r="L9" s="1">
        <v>1.6659999999999999</v>
      </c>
      <c r="M9" s="1">
        <v>0.246</v>
      </c>
      <c r="N9" s="1">
        <v>1.7000000000000001E-2</v>
      </c>
      <c r="O9" s="7">
        <v>98</v>
      </c>
    </row>
    <row r="10" spans="1:15" x14ac:dyDescent="0.35">
      <c r="A10" s="10">
        <v>9</v>
      </c>
      <c r="B10" s="1" t="s">
        <v>79</v>
      </c>
      <c r="C10" s="1">
        <v>54.475999999999999</v>
      </c>
      <c r="D10" s="1">
        <v>27.844999999999999</v>
      </c>
      <c r="E10" s="1">
        <v>9.2789999999999999</v>
      </c>
      <c r="F10" s="1">
        <v>0.51800000000000002</v>
      </c>
      <c r="G10" s="1">
        <v>2.2799999999999998</v>
      </c>
      <c r="H10" s="1">
        <v>0.57999999999999996</v>
      </c>
      <c r="I10" s="1">
        <v>0.155</v>
      </c>
      <c r="J10" s="1">
        <v>0.8</v>
      </c>
      <c r="K10" s="1">
        <v>0.13500000000000001</v>
      </c>
      <c r="L10" s="1">
        <v>1.665</v>
      </c>
      <c r="M10" s="1">
        <v>0.24299999999999999</v>
      </c>
      <c r="N10" s="1">
        <v>2.4E-2</v>
      </c>
      <c r="O10" s="7">
        <v>98</v>
      </c>
    </row>
    <row r="11" spans="1:15" x14ac:dyDescent="0.35">
      <c r="A11" s="10">
        <v>10</v>
      </c>
      <c r="B11" s="1" t="s">
        <v>80</v>
      </c>
      <c r="C11" s="1">
        <v>55.194000000000003</v>
      </c>
      <c r="D11" s="1">
        <v>29.803000000000001</v>
      </c>
      <c r="E11" s="1">
        <v>6.2809999999999997</v>
      </c>
      <c r="F11" s="1">
        <v>0.63400000000000001</v>
      </c>
      <c r="G11" s="1">
        <v>2.3130000000000002</v>
      </c>
      <c r="H11" s="1">
        <v>0.66700000000000004</v>
      </c>
      <c r="I11" s="1">
        <v>0.161</v>
      </c>
      <c r="J11" s="1">
        <v>0.80200000000000005</v>
      </c>
      <c r="K11" s="1">
        <v>9.0999999999999998E-2</v>
      </c>
      <c r="L11" s="1">
        <v>1.78</v>
      </c>
      <c r="M11" s="1">
        <v>0.26200000000000001</v>
      </c>
      <c r="N11" s="1">
        <v>1.0999999999999999E-2</v>
      </c>
      <c r="O11" s="7">
        <v>98</v>
      </c>
    </row>
    <row r="12" spans="1:15" x14ac:dyDescent="0.35">
      <c r="A12" s="10">
        <v>11</v>
      </c>
      <c r="B12" s="1" t="s">
        <v>81</v>
      </c>
      <c r="C12" s="1">
        <v>55.494999999999997</v>
      </c>
      <c r="D12" s="1">
        <v>29.911999999999999</v>
      </c>
      <c r="E12" s="1">
        <v>6.5270000000000001</v>
      </c>
      <c r="F12" s="1">
        <v>0.13500000000000001</v>
      </c>
      <c r="G12" s="1">
        <v>2.2090000000000001</v>
      </c>
      <c r="H12" s="1">
        <v>0.627</v>
      </c>
      <c r="I12" s="1">
        <v>0.159</v>
      </c>
      <c r="J12" s="1">
        <v>0.83499999999999996</v>
      </c>
      <c r="K12" s="1">
        <v>9.4E-2</v>
      </c>
      <c r="L12" s="1">
        <v>1.768</v>
      </c>
      <c r="M12" s="1">
        <v>0.224</v>
      </c>
      <c r="N12" s="1">
        <v>1.2E-2</v>
      </c>
      <c r="O12" s="7">
        <v>98</v>
      </c>
    </row>
    <row r="13" spans="1:15" x14ac:dyDescent="0.35">
      <c r="A13" s="10">
        <v>12</v>
      </c>
      <c r="B13" s="1" t="s">
        <v>82</v>
      </c>
      <c r="C13" s="1">
        <v>55.901000000000003</v>
      </c>
      <c r="D13" s="1">
        <v>26.751000000000001</v>
      </c>
      <c r="E13" s="1">
        <v>8.9339999999999993</v>
      </c>
      <c r="F13" s="1">
        <v>0.39</v>
      </c>
      <c r="G13" s="1">
        <v>2.3330000000000002</v>
      </c>
      <c r="H13" s="1">
        <v>0.60599999999999998</v>
      </c>
      <c r="I13" s="1">
        <v>0.16300000000000001</v>
      </c>
      <c r="J13" s="1">
        <v>0.83499999999999996</v>
      </c>
      <c r="K13" s="1">
        <v>0.13200000000000001</v>
      </c>
      <c r="L13" s="1">
        <v>1.6930000000000001</v>
      </c>
      <c r="M13" s="1">
        <v>0.23599999999999999</v>
      </c>
      <c r="N13" s="1">
        <v>2.4E-2</v>
      </c>
      <c r="O13" s="7">
        <v>98</v>
      </c>
    </row>
    <row r="14" spans="1:15" x14ac:dyDescent="0.35">
      <c r="A14" s="14">
        <v>13</v>
      </c>
      <c r="B14" s="8" t="s">
        <v>83</v>
      </c>
      <c r="C14" s="8">
        <v>55.673000000000002</v>
      </c>
      <c r="D14" s="8">
        <v>28.619</v>
      </c>
      <c r="E14" s="8">
        <v>7.4690000000000003</v>
      </c>
      <c r="F14" s="8">
        <v>0.28899999999999998</v>
      </c>
      <c r="G14" s="8">
        <v>2.2490000000000001</v>
      </c>
      <c r="H14" s="8">
        <v>0.59399999999999997</v>
      </c>
      <c r="I14" s="8">
        <v>0.16</v>
      </c>
      <c r="J14" s="8">
        <v>0.85699999999999998</v>
      </c>
      <c r="K14" s="8">
        <v>0.108</v>
      </c>
      <c r="L14" s="8">
        <v>1.7350000000000001</v>
      </c>
      <c r="M14" s="8">
        <v>0.23599999999999999</v>
      </c>
      <c r="N14" s="8">
        <v>0.01</v>
      </c>
      <c r="O14" s="9">
        <v>98</v>
      </c>
    </row>
    <row r="15" spans="1:15" x14ac:dyDescent="0.35">
      <c r="A15" s="14"/>
      <c r="B15" s="15" t="s">
        <v>84</v>
      </c>
      <c r="C15" s="15">
        <f>AVERAGE(C2:C14)</f>
        <v>55.222230769230762</v>
      </c>
      <c r="D15" s="15">
        <f t="shared" ref="D15:O15" si="0">AVERAGE(D2:D14)</f>
        <v>28.237076923076913</v>
      </c>
      <c r="E15" s="15">
        <f t="shared" si="0"/>
        <v>8.122461538461538</v>
      </c>
      <c r="F15" s="15">
        <f t="shared" si="0"/>
        <v>0.45476923076923076</v>
      </c>
      <c r="G15" s="15">
        <f t="shared" si="0"/>
        <v>2.2631538461538456</v>
      </c>
      <c r="H15" s="15">
        <f t="shared" si="0"/>
        <v>0.63792307692307681</v>
      </c>
      <c r="I15" s="15">
        <f t="shared" si="0"/>
        <v>0.15753846153846154</v>
      </c>
      <c r="J15" s="15">
        <f t="shared" si="0"/>
        <v>0.82738461538461539</v>
      </c>
      <c r="K15" s="15">
        <f t="shared" si="0"/>
        <v>0.11884615384615388</v>
      </c>
      <c r="L15" s="15">
        <f t="shared" si="0"/>
        <v>1.7019230769230771</v>
      </c>
      <c r="M15" s="15">
        <f t="shared" si="0"/>
        <v>0.24130769230769228</v>
      </c>
      <c r="N15" s="15">
        <f t="shared" si="0"/>
        <v>1.4769230769230772E-2</v>
      </c>
      <c r="O15" s="15">
        <f t="shared" si="0"/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358E-A882-4C9B-9FF8-B8DCAF03FE49}">
  <dimension ref="A1:F2"/>
  <sheetViews>
    <sheetView workbookViewId="0">
      <selection sqref="A1:F2"/>
    </sheetView>
  </sheetViews>
  <sheetFormatPr defaultRowHeight="14.5" x14ac:dyDescent="0.35"/>
  <cols>
    <col min="2" max="2" width="4.81640625" bestFit="1" customWidth="1"/>
  </cols>
  <sheetData>
    <row r="1" spans="1:6" x14ac:dyDescent="0.35">
      <c r="A1" s="1" t="s">
        <v>58</v>
      </c>
      <c r="B1" s="16" t="s">
        <v>85</v>
      </c>
      <c r="C1" s="1" t="s">
        <v>54</v>
      </c>
      <c r="D1" s="1" t="s">
        <v>51</v>
      </c>
      <c r="E1" s="1" t="s">
        <v>55</v>
      </c>
      <c r="F1" s="1" t="s">
        <v>86</v>
      </c>
    </row>
    <row r="2" spans="1:6" x14ac:dyDescent="0.35">
      <c r="A2" s="1" t="s">
        <v>87</v>
      </c>
      <c r="B2" s="1">
        <v>41.2</v>
      </c>
      <c r="C2" s="1">
        <v>32.549999999999997</v>
      </c>
      <c r="D2" s="1">
        <v>5.8</v>
      </c>
      <c r="E2" s="1">
        <v>2.1</v>
      </c>
      <c r="F2" s="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0915-6C85-4BDC-844A-E0D1A780013D}">
  <dimension ref="A1:H15"/>
  <sheetViews>
    <sheetView workbookViewId="0">
      <selection activeCell="L11" sqref="L11"/>
    </sheetView>
  </sheetViews>
  <sheetFormatPr defaultRowHeight="14.5" x14ac:dyDescent="0.35"/>
  <sheetData>
    <row r="1" spans="1:8" x14ac:dyDescent="0.35">
      <c r="A1" s="1" t="s">
        <v>93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H1" s="1" t="s">
        <v>95</v>
      </c>
    </row>
    <row r="2" spans="1:8" x14ac:dyDescent="0.35">
      <c r="A2" s="1" t="str" cm="1">
        <f t="array" ref="A2:A13">TRANSPOSE(Clinker_Data!C1:N1)</f>
        <v>SiO2 (%)</v>
      </c>
      <c r="B2" s="2" cm="1">
        <f t="array" ref="B2:B13">TRANSPOSE(Clinker_Data!C27:N27)</f>
        <v>20.448999999999998</v>
      </c>
      <c r="C2" s="2" cm="1">
        <f t="array" ref="C2:C13">TRANSPOSE(Dry_Fly_Ash_Data!C15:N15)</f>
        <v>48.246615384615374</v>
      </c>
      <c r="D2" s="2" cm="1">
        <f t="array" ref="D2:D13">TRANSPOSE(Wet_Fly_Ash_Data!C15:N15)</f>
        <v>55.222230769230762</v>
      </c>
      <c r="E2" s="2" cm="1">
        <f t="array" ref="E2:E6">TRANSPOSE(Slag_Data!C7:G7)</f>
        <v>33.459200000000003</v>
      </c>
      <c r="F2" s="2">
        <f>Gypsum_Data!D2</f>
        <v>5.8</v>
      </c>
      <c r="H2" s="5"/>
    </row>
    <row r="3" spans="1:8" x14ac:dyDescent="0.35">
      <c r="A3" s="1" t="str">
        <v>Al2O3 (%)</v>
      </c>
      <c r="B3" s="2">
        <v>4.5724399999999994</v>
      </c>
      <c r="C3" s="2">
        <v>25.162999999999997</v>
      </c>
      <c r="D3" s="2">
        <v>28.237076923076913</v>
      </c>
      <c r="E3" s="2">
        <v>20.165800000000001</v>
      </c>
      <c r="F3" s="2">
        <v>0.76</v>
      </c>
      <c r="H3" s="5"/>
    </row>
    <row r="4" spans="1:8" x14ac:dyDescent="0.35">
      <c r="A4" s="1" t="str">
        <v>Fe2O3 (%)</v>
      </c>
      <c r="B4" s="2">
        <v>5.246999999999999</v>
      </c>
      <c r="C4" s="2">
        <v>6.8547692307692305</v>
      </c>
      <c r="D4" s="2">
        <v>8.122461538461538</v>
      </c>
      <c r="E4" s="2">
        <v>0.36879999999999996</v>
      </c>
      <c r="F4" s="2">
        <v>0.68</v>
      </c>
      <c r="H4" s="5"/>
    </row>
    <row r="5" spans="1:8" x14ac:dyDescent="0.35">
      <c r="A5" s="1" t="str">
        <v>CaO (%)</v>
      </c>
      <c r="B5" s="2">
        <v>65.41028</v>
      </c>
      <c r="C5" s="2">
        <v>6.204538461538462</v>
      </c>
      <c r="D5" s="2">
        <v>0.45476923076923076</v>
      </c>
      <c r="E5" s="2">
        <v>36.413199999999996</v>
      </c>
      <c r="F5" s="2">
        <f>Gypsum_Data!C2</f>
        <v>32.549999999999997</v>
      </c>
      <c r="H5" s="5"/>
    </row>
    <row r="6" spans="1:8" x14ac:dyDescent="0.35">
      <c r="A6" s="1" t="str">
        <v>MgO (%)</v>
      </c>
      <c r="B6" s="2">
        <v>0.88068000000000002</v>
      </c>
      <c r="C6" s="2">
        <v>2.8773076923076917</v>
      </c>
      <c r="D6" s="2">
        <v>2.2631538461538456</v>
      </c>
      <c r="E6" s="2">
        <v>7.8867999999999991</v>
      </c>
      <c r="F6" s="2">
        <f>Gypsum_Data!E2</f>
        <v>2.1</v>
      </c>
      <c r="H6" s="5"/>
    </row>
    <row r="7" spans="1:8" x14ac:dyDescent="0.35">
      <c r="A7" s="1" t="str">
        <v>SO3 (%)</v>
      </c>
      <c r="B7" s="2">
        <v>1.6294400000000002</v>
      </c>
      <c r="C7" s="2">
        <v>6.1290769230769238</v>
      </c>
      <c r="D7" s="2">
        <v>0.63792307692307681</v>
      </c>
      <c r="E7" s="2">
        <v>0</v>
      </c>
      <c r="F7" s="2">
        <f>Gypsum_Data!B2</f>
        <v>41.2</v>
      </c>
      <c r="H7" s="5"/>
    </row>
    <row r="8" spans="1:8" x14ac:dyDescent="0.35">
      <c r="A8" s="1" t="str">
        <v>Na2O (%)</v>
      </c>
      <c r="B8" s="2">
        <v>0.21648000000000003</v>
      </c>
      <c r="C8" s="2">
        <v>0.16415384615384615</v>
      </c>
      <c r="D8" s="2">
        <v>0.15753846153846154</v>
      </c>
      <c r="E8" s="2">
        <f>Slag_Data!H7</f>
        <v>0.15540000000000001</v>
      </c>
      <c r="F8" s="2">
        <v>8.0000000000000002E-3</v>
      </c>
      <c r="H8" s="5"/>
    </row>
    <row r="9" spans="1:8" x14ac:dyDescent="0.35">
      <c r="A9" s="1" t="str">
        <v>K2O (%)</v>
      </c>
      <c r="B9" s="2">
        <v>0.7434400000000001</v>
      </c>
      <c r="C9" s="2">
        <v>0.56823076923076932</v>
      </c>
      <c r="D9" s="2">
        <v>0.82738461538461539</v>
      </c>
      <c r="E9" s="2">
        <f>Slag_Data!I7</f>
        <v>0.55080000000000007</v>
      </c>
      <c r="F9" s="2">
        <v>7.0000000000000001E-3</v>
      </c>
      <c r="H9" s="5"/>
    </row>
    <row r="10" spans="1:8" x14ac:dyDescent="0.35">
      <c r="A10" s="1" t="str">
        <v>Mn2O3 (%)</v>
      </c>
      <c r="B10" s="2">
        <v>0.15391999999999997</v>
      </c>
      <c r="C10" s="2">
        <v>7.8076923076923072E-2</v>
      </c>
      <c r="D10" s="2">
        <v>0.11884615384615388</v>
      </c>
      <c r="E10" s="2">
        <v>0.22</v>
      </c>
      <c r="F10" s="2">
        <v>0</v>
      </c>
      <c r="H10" s="5"/>
    </row>
    <row r="11" spans="1:8" x14ac:dyDescent="0.35">
      <c r="A11" s="1" t="str">
        <v>TiO2 (%)</v>
      </c>
      <c r="B11" s="2">
        <v>0.25172000000000005</v>
      </c>
      <c r="C11" s="2">
        <v>1.5023076923076923</v>
      </c>
      <c r="D11" s="2">
        <v>1.7019230769230771</v>
      </c>
      <c r="E11" s="2">
        <v>0.33</v>
      </c>
      <c r="F11" s="2">
        <v>0</v>
      </c>
      <c r="H11" s="5"/>
    </row>
    <row r="12" spans="1:8" x14ac:dyDescent="0.35">
      <c r="A12" s="1" t="str">
        <v>P2O5 (%)</v>
      </c>
      <c r="B12" s="2">
        <v>0.13288</v>
      </c>
      <c r="C12" s="2">
        <v>0.20553846153846156</v>
      </c>
      <c r="D12" s="2">
        <v>0.24130769230769228</v>
      </c>
      <c r="E12" s="2">
        <v>0.05</v>
      </c>
      <c r="F12" s="2">
        <v>0</v>
      </c>
      <c r="H12" s="5"/>
    </row>
    <row r="13" spans="1:8" x14ac:dyDescent="0.35">
      <c r="A13" s="1" t="str">
        <v>Cr2O3 (%)</v>
      </c>
      <c r="B13" s="2">
        <v>2.0000000000000013E-3</v>
      </c>
      <c r="C13" s="2">
        <v>5.8461538461538473E-3</v>
      </c>
      <c r="D13" s="2">
        <v>1.4769230769230772E-2</v>
      </c>
      <c r="E13" s="2">
        <v>0</v>
      </c>
      <c r="F13" s="2">
        <v>0</v>
      </c>
      <c r="H13" s="5"/>
    </row>
    <row r="15" spans="1:8" x14ac:dyDescent="0.35">
      <c r="A15" s="21" t="s">
        <v>94</v>
      </c>
      <c r="B15" s="20">
        <v>72</v>
      </c>
      <c r="C15" s="20">
        <v>10</v>
      </c>
      <c r="D15" s="20">
        <v>8</v>
      </c>
      <c r="E15" s="20">
        <v>5</v>
      </c>
      <c r="F15" s="20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78DD-E404-47A5-BABB-8B25FA3BCCCB}">
  <dimension ref="A1:G2"/>
  <sheetViews>
    <sheetView workbookViewId="0">
      <selection activeCell="A3" sqref="A3"/>
    </sheetView>
  </sheetViews>
  <sheetFormatPr defaultRowHeight="14.5" x14ac:dyDescent="0.35"/>
  <cols>
    <col min="1" max="1" width="9.36328125" customWidth="1"/>
    <col min="6" max="6" width="12.453125" customWidth="1"/>
  </cols>
  <sheetData>
    <row r="1" spans="1:7" ht="20" customHeight="1" x14ac:dyDescent="0.35">
      <c r="A1" s="17" t="s">
        <v>39</v>
      </c>
      <c r="B1" s="17" t="s">
        <v>40</v>
      </c>
      <c r="C1" s="17" t="s">
        <v>41</v>
      </c>
      <c r="D1" s="17" t="s">
        <v>42</v>
      </c>
      <c r="E1" s="17" t="s">
        <v>43</v>
      </c>
      <c r="F1" s="17" t="s">
        <v>44</v>
      </c>
      <c r="G1" s="17" t="s">
        <v>45</v>
      </c>
    </row>
    <row r="2" spans="1:7" x14ac:dyDescent="0.35">
      <c r="A2" s="19">
        <v>46087</v>
      </c>
      <c r="B2" s="18">
        <v>72</v>
      </c>
      <c r="C2" s="18">
        <v>10</v>
      </c>
      <c r="D2" s="18">
        <v>8</v>
      </c>
      <c r="E2" s="18">
        <v>5</v>
      </c>
      <c r="F2" s="18">
        <v>5</v>
      </c>
      <c r="G2" s="18">
        <v>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2CA7-FC8D-4696-91EF-3571E303C46C}">
  <dimension ref="A1"/>
  <sheetViews>
    <sheetView workbookViewId="0">
      <selection activeCell="G14" sqref="G14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0696-2011-40F0-BFDD-DFC1F34A5949}">
  <dimension ref="A1"/>
  <sheetViews>
    <sheetView workbookViewId="0">
      <selection activeCell="I13" sqref="I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Clinker_Data</vt:lpstr>
      <vt:lpstr>Slag_Data</vt:lpstr>
      <vt:lpstr>Dry_Fly_Ash_Data</vt:lpstr>
      <vt:lpstr>Wet_Fly_Ash_Data</vt:lpstr>
      <vt:lpstr>Gypsum_Data</vt:lpstr>
      <vt:lpstr>CaO Model</vt:lpstr>
      <vt:lpstr>Cement_Mill_Data</vt:lpstr>
      <vt:lpstr>Hourly Results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Pandya</dc:creator>
  <cp:lastModifiedBy>Hrithik Pandya</cp:lastModifiedBy>
  <dcterms:created xsi:type="dcterms:W3CDTF">2026-03-14T13:25:30Z</dcterms:created>
  <dcterms:modified xsi:type="dcterms:W3CDTF">2026-03-14T15:32:51Z</dcterms:modified>
</cp:coreProperties>
</file>